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פת החלטות מאסטר" sheetId="1" state="visible" r:id="rId1"/>
    <sheet name="תקציר מנהלים" sheetId="2" state="visible" r:id="rId2"/>
    <sheet name="מקרא ומתודולוגיה" sheetId="3" state="visible" r:id="rId3"/>
  </sheets>
  <definedNames>
    <definedName name="_xlnm._FilterDatabase" localSheetId="0" hidden="1">'מפת החלטות מאסטר'!$A$3:$Y$39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sz val="11"/>
    </font>
    <font>
      <name val="Arial"/>
      <b val="1"/>
      <color rgb="001F3864"/>
      <sz val="12"/>
    </font>
    <font>
      <name val="Arial"/>
      <i val="1"/>
      <sz val="10"/>
    </font>
    <font>
      <name val="Arial"/>
      <b val="1"/>
      <sz val="12"/>
    </font>
    <font>
      <name val="Arial"/>
      <b val="1"/>
      <color rgb="001F3864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right" vertical="top" wrapText="1"/>
    </xf>
    <xf numFmtId="3" fontId="4" fillId="0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right" vertical="top" wrapText="1"/>
    </xf>
    <xf numFmtId="164" fontId="4" fillId="0" borderId="1" applyAlignment="1" pivotButton="0" quotePrefix="0" xfId="0">
      <alignment horizontal="right" vertical="top" wrapText="1"/>
    </xf>
    <xf numFmtId="9" fontId="4" fillId="0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right" vertical="top" wrapText="1"/>
    </xf>
    <xf numFmtId="0" fontId="4" fillId="6" borderId="1" applyAlignment="1" pivotButton="0" quotePrefix="0" xfId="0">
      <alignment horizontal="right" vertical="top" wrapText="1"/>
    </xf>
    <xf numFmtId="0" fontId="4" fillId="7" borderId="1" applyAlignment="1" pivotButton="0" quotePrefix="0" xfId="0">
      <alignment horizontal="right" vertical="top" wrapText="1"/>
    </xf>
    <xf numFmtId="0" fontId="5" fillId="0" borderId="1" pivotButton="0" quotePrefix="0" xfId="0"/>
    <xf numFmtId="0" fontId="0" fillId="0" borderId="1" pivotButton="0" quotePrefix="0" xfId="0"/>
    <xf numFmtId="164" fontId="5" fillId="8" borderId="1" pivotButton="0" quotePrefix="0" xfId="0"/>
    <xf numFmtId="9" fontId="5" fillId="8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6" fillId="0" borderId="0" applyAlignment="1" pivotButton="0" quotePrefix="0" xfId="0">
      <alignment horizontal="right" vertical="top" wrapText="1"/>
    </xf>
    <xf numFmtId="3" fontId="7" fillId="0" borderId="0" applyAlignment="1" pivotButton="0" quotePrefix="0" xfId="0">
      <alignment horizontal="center"/>
    </xf>
    <xf numFmtId="0" fontId="8" fillId="0" borderId="0" pivotButton="0" quotePrefix="0" xfId="0"/>
    <xf numFmtId="9" fontId="7" fillId="0" borderId="0" applyAlignment="1" pivotButton="0" quotePrefix="0" xfId="0">
      <alignment horizontal="center"/>
    </xf>
    <xf numFmtId="0" fontId="9" fillId="0" borderId="0" pivotButton="0" quotePrefix="0" xfId="0"/>
    <xf numFmtId="0" fontId="0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6" customWidth="1" min="4" max="4"/>
    <col width="12" customWidth="1" min="5" max="5"/>
    <col width="28" customWidth="1" min="6" max="6"/>
    <col width="12" customWidth="1" min="7" max="7"/>
    <col width="34" customWidth="1" min="8" max="8"/>
    <col width="30" customWidth="1" min="9" max="9"/>
    <col width="22" customWidth="1" min="10" max="10"/>
    <col width="22" customWidth="1" min="11" max="11"/>
    <col width="20" customWidth="1" min="12" max="12"/>
    <col width="20" customWidth="1" min="13" max="13"/>
    <col width="22" customWidth="1" min="14" max="14"/>
    <col width="30" customWidth="1" min="15" max="15"/>
    <col width="30" customWidth="1" min="16" max="16"/>
    <col width="30" customWidth="1" min="17" max="17"/>
    <col width="12" customWidth="1" min="18" max="18"/>
    <col width="12" customWidth="1" min="19" max="19"/>
    <col width="14" customWidth="1" min="20" max="20"/>
    <col width="12" customWidth="1" min="21" max="21"/>
    <col width="12" customWidth="1" min="22" max="22"/>
    <col width="12" customWidth="1" min="23" max="23"/>
    <col width="10" customWidth="1" min="24" max="24"/>
    <col width="34" customWidth="1" min="25" max="25"/>
  </cols>
  <sheetData>
    <row r="1" ht="26" customHeight="1">
      <c r="A1" s="1" t="inlineStr">
        <is>
          <t>Master Decision Matrix — מפת החלטות תפעוליות לבניין (KEEP / SKIP / INSPECT / ACT)</t>
        </is>
      </c>
    </row>
    <row r="2" ht="30" customHeight="1">
      <c r="A2" s="2" t="inlineStr">
        <is>
          <t>מקור: תוכנית האחזקה המונעת (230 משימות, 12 מערכות) — נבחרו 36 המשימות בעלות פוטנציאל ההשפעה הגבוה ביותר לשלב 1. כל שעות/זמן הן הערכות ראשוניות (MVP) לאימות מול נתוני אמת בפיילוט.</t>
        </is>
      </c>
    </row>
    <row r="3" ht="46" customHeight="1">
      <c r="A3" s="3" t="inlineStr">
        <is>
          <t>#</t>
        </is>
      </c>
      <c r="B3" s="3" t="inlineStr">
        <is>
          <t>מערכת</t>
        </is>
      </c>
      <c r="C3" s="3" t="inlineStr">
        <is>
          <t>ציוד / רכיב</t>
        </is>
      </c>
      <c r="D3" s="3" t="inlineStr">
        <is>
          <t>משימה (מקור: תוכנית האחזקה)</t>
        </is>
      </c>
      <c r="E3" s="3" t="inlineStr">
        <is>
          <t>תדירות נוכחית</t>
        </is>
      </c>
      <c r="F3" s="3" t="inlineStr">
        <is>
          <t>סיווג אסטרטגי</t>
        </is>
      </c>
      <c r="G3" s="3" t="inlineStr">
        <is>
          <t>מופעים לשנה (היום)</t>
        </is>
      </c>
      <c r="H3" s="3" t="inlineStr">
        <is>
          <t>מה נבדק בפועל (תמצית)</t>
        </is>
      </c>
      <c r="I3" s="3" t="inlineStr">
        <is>
          <t>מקור החובה (Compliance)</t>
        </is>
      </c>
      <c r="J3" s="3" t="inlineStr">
        <is>
          <t>נתון קיים בבקר/BMS?</t>
        </is>
      </c>
      <c r="K3" s="3" t="inlineStr">
        <is>
          <t>חיישן IoT נדרש</t>
        </is>
      </c>
      <c r="L3" s="3" t="inlineStr">
        <is>
          <t>בדיקה פיזית חובה עפ"י דין/תקן?</t>
        </is>
      </c>
      <c r="M3" s="3" t="inlineStr">
        <is>
          <t>ניתן למעבר לניהול מבוסס חריגות?</t>
        </is>
      </c>
      <c r="N3" s="3" t="inlineStr">
        <is>
          <t>החלטת ברירת מחדל</t>
        </is>
      </c>
      <c r="O3" s="3" t="inlineStr">
        <is>
          <t>תנאי SKIP</t>
        </is>
      </c>
      <c r="P3" s="3" t="inlineStr">
        <is>
          <t>תנאי INSPECT</t>
        </is>
      </c>
      <c r="Q3" s="3" t="inlineStr">
        <is>
          <t>תנאי ACT</t>
        </is>
      </c>
      <c r="R3" s="3" t="inlineStr">
        <is>
          <t>זמן ביצוע היום (דק')</t>
        </is>
      </c>
      <c r="S3" s="3" t="inlineStr">
        <is>
          <t>שעות/שנה - היום</t>
        </is>
      </c>
      <c r="T3" s="3" t="inlineStr">
        <is>
          <t>מופעים חזויים לשנה</t>
        </is>
      </c>
      <c r="U3" s="3" t="inlineStr">
        <is>
          <t>זמן ביצוע חזוי (דק')</t>
        </is>
      </c>
      <c r="V3" s="3" t="inlineStr">
        <is>
          <t>שעות/שנה - חזוי</t>
        </is>
      </c>
      <c r="W3" s="3" t="inlineStr">
        <is>
          <t>חיסכון שעות/שנה</t>
        </is>
      </c>
      <c r="X3" s="3" t="inlineStr">
        <is>
          <t>% חיסכון</t>
        </is>
      </c>
      <c r="Y3" s="3" t="inlineStr">
        <is>
          <t>הערות / הנחות</t>
        </is>
      </c>
    </row>
    <row r="4" ht="60" customHeight="1">
      <c r="A4" s="4" t="n">
        <v>1</v>
      </c>
      <c r="B4" s="4" t="inlineStr">
        <is>
          <t>מיזוג אוויר</t>
        </is>
      </c>
      <c r="C4" s="4" t="inlineStr">
        <is>
          <t>צ'ילר</t>
        </is>
      </c>
      <c r="D4" s="4" t="inlineStr">
        <is>
          <t>בדיקת צ'ילרים</t>
        </is>
      </c>
      <c r="E4" s="4" t="inlineStr">
        <is>
          <t>יומי</t>
        </is>
      </c>
      <c r="F4" s="5" t="inlineStr">
        <is>
          <t>A — נתון קיים בבקר (אוטומציה מיידית)</t>
        </is>
      </c>
      <c r="G4" s="6" t="n">
        <v>365</v>
      </c>
      <c r="H4" s="4" t="inlineStr">
        <is>
          <t>רישום ידני של לחץ יניקה/דחיסה/שמן וטמפ' מים כניסה/יציאה</t>
        </is>
      </c>
      <c r="I4" s="4" t="inlineStr">
        <is>
          <t>הוראות יצרן + נוהל אחזקה מונעת (SLA)</t>
        </is>
      </c>
      <c r="J4" s="4" t="inlineStr">
        <is>
          <t>כן — כל הפרמטרים מדווחים ברציפות מבקר הצ'ילר</t>
        </is>
      </c>
      <c r="K4" s="4" t="inlineStr">
        <is>
          <t>לא נדרש (קיים)</t>
        </is>
      </c>
      <c r="L4" s="4" t="inlineStr">
        <is>
          <t>לא</t>
        </is>
      </c>
      <c r="M4" s="4" t="inlineStr">
        <is>
          <t>כן — מלא</t>
        </is>
      </c>
      <c r="N4" s="7" t="inlineStr">
        <is>
          <t>SKIP (ברירת מחדל דיגיטלית)</t>
        </is>
      </c>
      <c r="O4" s="4" t="inlineStr">
        <is>
          <t>כל הפרמטרים בטווח היצרן ברציפות ב-24 השעות האחרונות</t>
        </is>
      </c>
      <c r="P4" s="4" t="inlineStr">
        <is>
          <t>חריגה חד-פעמית קלה מהטווח (התרעת סף צהוב)</t>
        </is>
      </c>
      <c r="Q4" s="4" t="inlineStr">
        <is>
          <t>חריגה חוזרת/משמעותית, או אובדן תקשורת עם הבקר מעל שעה</t>
        </is>
      </c>
      <c r="R4" s="6" t="n">
        <v>15</v>
      </c>
      <c r="S4" s="8">
        <f>G4*R4/60</f>
        <v/>
      </c>
      <c r="T4" s="6" t="n">
        <v>20</v>
      </c>
      <c r="U4" s="6" t="n">
        <v>12</v>
      </c>
      <c r="V4" s="8">
        <f>T4*U4/60</f>
        <v/>
      </c>
      <c r="W4" s="8">
        <f>S4-V4</f>
        <v/>
      </c>
      <c r="X4" s="9">
        <f>IFERROR(W4/S4,0)</f>
        <v/>
      </c>
      <c r="Y4" s="4" t="inlineStr">
        <is>
          <t>הבדיקה הופכת מ'משימה יומית' ל-Dashboard חי + טיפול ב-20 חריגות בשנה בלבד</t>
        </is>
      </c>
    </row>
    <row r="5" ht="60" customHeight="1">
      <c r="A5" s="4" t="n">
        <v>2</v>
      </c>
      <c r="B5" s="4" t="inlineStr">
        <is>
          <t>מערכות מים</t>
        </is>
      </c>
      <c r="C5" s="4" t="inlineStr">
        <is>
          <t>חדר משאבות מים</t>
        </is>
      </c>
      <c r="D5" s="4" t="inlineStr">
        <is>
          <t>בדיקת חדר משאבות מים</t>
        </is>
      </c>
      <c r="E5" s="4" t="inlineStr">
        <is>
          <t>יומי</t>
        </is>
      </c>
      <c r="F5" s="5" t="inlineStr">
        <is>
          <t>B — נדרש חיישן IoT נוסף</t>
        </is>
      </c>
      <c r="G5" s="6" t="n">
        <v>365</v>
      </c>
      <c r="H5" s="4" t="inlineStr">
        <is>
          <t>ניקיון, תאורה, רעשים חריגים ותקינות לוחות חשמל (ג'וקי/ספרינקלרים/הגברת לחץ)</t>
        </is>
      </c>
      <c r="I5" s="4" t="inlineStr">
        <is>
          <t>נוהל פנימי / SLA אחזקה</t>
        </is>
      </c>
      <c r="J5" s="4" t="inlineStr">
        <is>
          <t>חלקי — סטטוס הפעלה/תקלה בלוחות בד"כ מדווח, רעש/ניקיון לא</t>
        </is>
      </c>
      <c r="K5" s="4" t="inlineStr">
        <is>
          <t>כן — חיישן רעד/זרם על המשאבות</t>
        </is>
      </c>
      <c r="L5" s="4" t="inlineStr">
        <is>
          <t>לא</t>
        </is>
      </c>
      <c r="M5" s="4" t="inlineStr">
        <is>
          <t>כן — ברובו</t>
        </is>
      </c>
      <c r="N5" s="7" t="inlineStr">
        <is>
          <t>SKIP/INSPECT</t>
        </is>
      </c>
      <c r="O5" s="4" t="inlineStr">
        <is>
          <t>אין אזעקת לוח חשמל ואין חריגת רעד/זרם מהחיישנים</t>
        </is>
      </c>
      <c r="P5" s="4" t="inlineStr">
        <is>
          <t>ביקור פיזי שבועי קבוע (ניקיון/ריח/מפגעים) + מיידי בהתרעה</t>
        </is>
      </c>
      <c r="Q5" s="4" t="inlineStr">
        <is>
          <t>אזעקת לוח חשמל, נזילה או חריגת רעד</t>
        </is>
      </c>
      <c r="R5" s="6" t="n">
        <v>10</v>
      </c>
      <c r="S5" s="8">
        <f>G5*R5/60</f>
        <v/>
      </c>
      <c r="T5" s="6" t="n">
        <v>52</v>
      </c>
      <c r="U5" s="6" t="n">
        <v>10</v>
      </c>
      <c r="V5" s="8">
        <f>T5*U5/60</f>
        <v/>
      </c>
      <c r="W5" s="8">
        <f>S5-V5</f>
        <v/>
      </c>
      <c r="X5" s="9">
        <f>IFERROR(W5/S5,0)</f>
        <v/>
      </c>
      <c r="Y5" s="4" t="inlineStr">
        <is>
          <t>מ-365 סיורים לשנה ל-52 (שבועי) + טיפול נקודתי בחריגות</t>
        </is>
      </c>
    </row>
    <row r="6" ht="60" customHeight="1">
      <c r="A6" s="4" t="n">
        <v>3</v>
      </c>
      <c r="B6" s="4" t="inlineStr">
        <is>
          <t>מערכות מים</t>
        </is>
      </c>
      <c r="C6" s="4" t="inlineStr">
        <is>
          <t>חדר משאבות מי שתייה</t>
        </is>
      </c>
      <c r="D6" s="4" t="inlineStr">
        <is>
          <t>בדיקת חדר משאבות מי שתייה</t>
        </is>
      </c>
      <c r="E6" s="4" t="inlineStr">
        <is>
          <t>יומי</t>
        </is>
      </c>
      <c r="F6" s="5" t="inlineStr">
        <is>
          <t>B — נדרש חיישן IoT נוסף</t>
        </is>
      </c>
      <c r="G6" s="6" t="n">
        <v>365</v>
      </c>
      <c r="H6" s="4" t="inlineStr">
        <is>
          <t>תאורה, ניקיון, רעשים חריגים וגלישת מאגר מים תחתון</t>
        </is>
      </c>
      <c r="I6" s="4" t="inlineStr">
        <is>
          <t>נוהל פנימי / תקנות איכות מי שתייה (עקיף)</t>
        </is>
      </c>
      <c r="J6" s="4" t="inlineStr">
        <is>
          <t>חלקי — מפלס מאגר לרוב מנוטר, רעש/גלישה לא תמיד</t>
        </is>
      </c>
      <c r="K6" s="4" t="inlineStr">
        <is>
          <t>כן — חיישן מפלס/גלישה</t>
        </is>
      </c>
      <c r="L6" s="4" t="inlineStr">
        <is>
          <t>לא</t>
        </is>
      </c>
      <c r="M6" s="4" t="inlineStr">
        <is>
          <t>כן — ברובו</t>
        </is>
      </c>
      <c r="N6" s="7" t="inlineStr">
        <is>
          <t>SKIP/INSPECT</t>
        </is>
      </c>
      <c r="O6" s="4" t="inlineStr">
        <is>
          <t>מפלס המאגר תקין ואין התרעת גלישה</t>
        </is>
      </c>
      <c r="P6" s="4" t="inlineStr">
        <is>
          <t>ביקור פיזי שבועי + מיידי בהתרעת מפלס</t>
        </is>
      </c>
      <c r="Q6" s="4" t="inlineStr">
        <is>
          <t>התרעת גלישה/מפלס קיצוני</t>
        </is>
      </c>
      <c r="R6" s="6" t="n">
        <v>8</v>
      </c>
      <c r="S6" s="8">
        <f>G6*R6/60</f>
        <v/>
      </c>
      <c r="T6" s="6" t="n">
        <v>52</v>
      </c>
      <c r="U6" s="6" t="n">
        <v>8</v>
      </c>
      <c r="V6" s="8">
        <f>T6*U6/60</f>
        <v/>
      </c>
      <c r="W6" s="8">
        <f>S6-V6</f>
        <v/>
      </c>
      <c r="X6" s="9">
        <f>IFERROR(W6/S6,0)</f>
        <v/>
      </c>
      <c r="Y6" s="4" t="inlineStr"/>
    </row>
    <row r="7" ht="60" customHeight="1">
      <c r="A7" s="4" t="n">
        <v>4</v>
      </c>
      <c r="B7" s="4" t="inlineStr">
        <is>
          <t>מערכות מים</t>
        </is>
      </c>
      <c r="C7" s="4" t="inlineStr">
        <is>
          <t>מאגר מים עליון</t>
        </is>
      </c>
      <c r="D7" s="4" t="inlineStr">
        <is>
          <t>בדיקת מאגר מים עליון</t>
        </is>
      </c>
      <c r="E7" s="4" t="inlineStr">
        <is>
          <t>יומי</t>
        </is>
      </c>
      <c r="F7" s="5" t="inlineStr">
        <is>
          <t>A — נתון קיים בבקר (אוטומציה מיידית)</t>
        </is>
      </c>
      <c r="G7" s="6" t="n">
        <v>365</v>
      </c>
      <c r="H7" s="4" t="inlineStr">
        <is>
          <t>רעשים/רעידות, נזילות, לחץ סניקה (BAR) וגובה מפלס מים</t>
        </is>
      </c>
      <c r="I7" s="4" t="inlineStr">
        <is>
          <t>נוהל פנימי / SLA</t>
        </is>
      </c>
      <c r="J7" s="4" t="inlineStr">
        <is>
          <t>כן — מפלס ולחץ סניקה ניתנים לניטור רציף בחיישן קיים/זול</t>
        </is>
      </c>
      <c r="K7" s="4" t="inlineStr">
        <is>
          <t>לא נדרש (או חיישן מפלס זול אם חסר)</t>
        </is>
      </c>
      <c r="L7" s="4" t="inlineStr">
        <is>
          <t>לא</t>
        </is>
      </c>
      <c r="M7" s="4" t="inlineStr">
        <is>
          <t>כן — מלא</t>
        </is>
      </c>
      <c r="N7" s="7" t="inlineStr">
        <is>
          <t>SKIP (ברירת מחדל דיגיטלית)</t>
        </is>
      </c>
      <c r="O7" s="4" t="inlineStr">
        <is>
          <t>מפלס ולחץ בטווח התקין ברציפות</t>
        </is>
      </c>
      <c r="P7" s="4" t="inlineStr">
        <is>
          <t>סטייה קלה ממפלס יעד</t>
        </is>
      </c>
      <c r="Q7" s="4" t="inlineStr">
        <is>
          <t>מפלס קיצוני / אובדן לחץ / נזילה מדווחת</t>
        </is>
      </c>
      <c r="R7" s="6" t="n">
        <v>8</v>
      </c>
      <c r="S7" s="8">
        <f>G7*R7/60</f>
        <v/>
      </c>
      <c r="T7" s="6" t="n">
        <v>15</v>
      </c>
      <c r="U7" s="6" t="n">
        <v>10</v>
      </c>
      <c r="V7" s="8">
        <f>T7*U7/60</f>
        <v/>
      </c>
      <c r="W7" s="8">
        <f>S7-V7</f>
        <v/>
      </c>
      <c r="X7" s="9">
        <f>IFERROR(W7/S7,0)</f>
        <v/>
      </c>
      <c r="Y7" s="4" t="inlineStr"/>
    </row>
    <row r="8" ht="60" customHeight="1">
      <c r="A8" s="4" t="n">
        <v>5</v>
      </c>
      <c r="B8" s="4" t="inlineStr">
        <is>
          <t>מערכות מים</t>
        </is>
      </c>
      <c r="C8" s="4" t="inlineStr">
        <is>
          <t>משאבות סחרור מים</t>
        </is>
      </c>
      <c r="D8" s="4" t="inlineStr">
        <is>
          <t>בדיקת משאבות סחרור מים</t>
        </is>
      </c>
      <c r="E8" s="4" t="inlineStr">
        <is>
          <t>יומי</t>
        </is>
      </c>
      <c r="F8" s="5" t="inlineStr">
        <is>
          <t>A — נתון קיים בבקר (אוטומציה מיידית)</t>
        </is>
      </c>
      <c r="G8" s="6" t="n">
        <v>365</v>
      </c>
      <c r="H8" s="4" t="inlineStr">
        <is>
          <t>רעשים/רעידות, נזילות, לחצי יניקה/סניקה והפרש לחץ על הפילטר</t>
        </is>
      </c>
      <c r="I8" s="4" t="inlineStr">
        <is>
          <t>הוראות יצרן / SLA</t>
        </is>
      </c>
      <c r="J8" s="4" t="inlineStr">
        <is>
          <t>כן — לחצים והפרש לחץ פילטר ניתנים לניטור דיגיטלי</t>
        </is>
      </c>
      <c r="K8" s="4" t="inlineStr">
        <is>
          <t>לא נדרש (או חיישן ΔP זול אם חסר)</t>
        </is>
      </c>
      <c r="L8" s="4" t="inlineStr">
        <is>
          <t>לא</t>
        </is>
      </c>
      <c r="M8" s="4" t="inlineStr">
        <is>
          <t>כן — מלא</t>
        </is>
      </c>
      <c r="N8" s="7" t="inlineStr">
        <is>
          <t>SKIP (ברירת מחדל דיגיטלית)</t>
        </is>
      </c>
      <c r="O8" s="4" t="inlineStr">
        <is>
          <t>לחצים והפרש הלחץ על הפילטר בטווח היעד</t>
        </is>
      </c>
      <c r="P8" s="4" t="inlineStr">
        <is>
          <t>הפרש לחץ מתקרב לסף החלפת פילטר</t>
        </is>
      </c>
      <c r="Q8" s="4" t="inlineStr">
        <is>
          <t>הפרש לחץ מעבר לסף / אובדן לחץ סניקה</t>
        </is>
      </c>
      <c r="R8" s="6" t="n">
        <v>8</v>
      </c>
      <c r="S8" s="8">
        <f>G8*R8/60</f>
        <v/>
      </c>
      <c r="T8" s="6" t="n">
        <v>20</v>
      </c>
      <c r="U8" s="6" t="n">
        <v>10</v>
      </c>
      <c r="V8" s="8">
        <f>T8*U8/60</f>
        <v/>
      </c>
      <c r="W8" s="8">
        <f>S8-V8</f>
        <v/>
      </c>
      <c r="X8" s="9">
        <f>IFERROR(W8/S8,0)</f>
        <v/>
      </c>
      <c r="Y8" s="4" t="inlineStr"/>
    </row>
    <row r="9" ht="60" customHeight="1">
      <c r="A9" s="4" t="n">
        <v>6</v>
      </c>
      <c r="B9" s="4" t="inlineStr">
        <is>
          <t>מערכת חשמל</t>
        </is>
      </c>
      <c r="C9" s="4" t="inlineStr">
        <is>
          <t>חדר חשמל ראשי</t>
        </is>
      </c>
      <c r="D9" s="4" t="inlineStr">
        <is>
          <t>בדיקת חדר חשמל ראשי</t>
        </is>
      </c>
      <c r="E9" s="4" t="inlineStr">
        <is>
          <t>יומי</t>
        </is>
      </c>
      <c r="F9" s="5" t="inlineStr">
        <is>
          <t>B — נדרש חיישן IoT נוסף</t>
        </is>
      </c>
      <c r="G9" s="6" t="n">
        <v>365</v>
      </c>
      <c r="H9" s="4" t="inlineStr">
        <is>
          <t>חום חריג בחדר, מנתקים שקפצו, ריח שרוף ותקינות מיזוג החדר</t>
        </is>
      </c>
      <c r="I9" s="4" t="inlineStr">
        <is>
          <t>הוראות יצרן / בטיחות אש (מניעת התחממות יתר)</t>
        </is>
      </c>
      <c r="J9" s="4" t="inlineStr">
        <is>
          <t>חלקי — חלק מהלוחות המודרניים מדווחים טמפ'/סטטוס מפסק, ריח שרוף לא</t>
        </is>
      </c>
      <c r="K9" s="4" t="inlineStr">
        <is>
          <t>כן — חיישן טמפ'/עשן בחדר החשמל</t>
        </is>
      </c>
      <c r="L9" s="4" t="inlineStr">
        <is>
          <t>לא (אך רגיש בטיחותית — ראה הערה)</t>
        </is>
      </c>
      <c r="M9" s="4" t="inlineStr">
        <is>
          <t>כן — ברובו, בכפוף להתקנת חיישן עשן/טמפ' ייעודי</t>
        </is>
      </c>
      <c r="N9" s="7" t="inlineStr">
        <is>
          <t>SKIP/INSPECT</t>
        </is>
      </c>
      <c r="O9" s="4" t="inlineStr">
        <is>
          <t>טמפ' תקינה ואין אזעקת עשן/מנתק</t>
        </is>
      </c>
      <c r="P9" s="4" t="inlineStr">
        <is>
          <t>סיור פיזי שבועי + מיידי בהתרעה</t>
        </is>
      </c>
      <c r="Q9" s="4" t="inlineStr">
        <is>
          <t>חריגת טמפ'/עשן/מנתק שקפץ</t>
        </is>
      </c>
      <c r="R9" s="6" t="n">
        <v>6</v>
      </c>
      <c r="S9" s="8">
        <f>G9*R9/60</f>
        <v/>
      </c>
      <c r="T9" s="6" t="n">
        <v>52</v>
      </c>
      <c r="U9" s="6" t="n">
        <v>8</v>
      </c>
      <c r="V9" s="8">
        <f>T9*U9/60</f>
        <v/>
      </c>
      <c r="W9" s="8">
        <f>S9-V9</f>
        <v/>
      </c>
      <c r="X9" s="9">
        <f>IFERROR(W9/S9,0)</f>
        <v/>
      </c>
      <c r="Y9" s="4" t="inlineStr">
        <is>
          <t>למרות האוטומציה — מומלץ לשמר סיור פיזי תדיר יחסית בשל רגישות בטיחותית (סיכון שריפה)</t>
        </is>
      </c>
    </row>
    <row r="10" ht="60" customHeight="1">
      <c r="A10" s="4" t="n">
        <v>7</v>
      </c>
      <c r="B10" s="4" t="inlineStr">
        <is>
          <t>מערכות מים</t>
        </is>
      </c>
      <c r="C10" s="4" t="inlineStr">
        <is>
          <t>לוח חשמל משאבות ניקוז</t>
        </is>
      </c>
      <c r="D10" s="4" t="inlineStr">
        <is>
          <t>בדיקת לוח חשמל משאבות ניקוז</t>
        </is>
      </c>
      <c r="E10" s="4" t="inlineStr">
        <is>
          <t>יומי</t>
        </is>
      </c>
      <c r="F10" s="5" t="inlineStr">
        <is>
          <t>A — נתון קיים בבקר (אוטומציה מיידית)</t>
        </is>
      </c>
      <c r="G10" s="6" t="n">
        <v>365</v>
      </c>
      <c r="H10" s="4" t="inlineStr">
        <is>
          <t>ניקוזים בכניסה לחניון ורעשים מלוח החשמל</t>
        </is>
      </c>
      <c r="I10" s="4" t="inlineStr">
        <is>
          <t>נוהל פנימי</t>
        </is>
      </c>
      <c r="J10" s="4" t="inlineStr">
        <is>
          <t>כן — לרוב יש התרעת תקלה/הצפה בלוח</t>
        </is>
      </c>
      <c r="K10" s="4" t="inlineStr">
        <is>
          <t>לא נדרש (קיים)</t>
        </is>
      </c>
      <c r="L10" s="4" t="inlineStr">
        <is>
          <t>לא</t>
        </is>
      </c>
      <c r="M10" s="4" t="inlineStr">
        <is>
          <t>כן — מלא</t>
        </is>
      </c>
      <c r="N10" s="7" t="inlineStr">
        <is>
          <t>SKIP (ברירת מחדל דיגיטלית)</t>
        </is>
      </c>
      <c r="O10" s="4" t="inlineStr">
        <is>
          <t>אין התרעת תקלה/הצפה בלוח</t>
        </is>
      </c>
      <c r="P10" s="4" t="inlineStr">
        <is>
          <t>ביקור פיזי שבועי</t>
        </is>
      </c>
      <c r="Q10" s="4" t="inlineStr">
        <is>
          <t>התרעת תקלה/הצפה</t>
        </is>
      </c>
      <c r="R10" s="6" t="n">
        <v>5</v>
      </c>
      <c r="S10" s="8">
        <f>G10*R10/60</f>
        <v/>
      </c>
      <c r="T10" s="6" t="n">
        <v>52</v>
      </c>
      <c r="U10" s="6" t="n">
        <v>5</v>
      </c>
      <c r="V10" s="8">
        <f>T10*U10/60</f>
        <v/>
      </c>
      <c r="W10" s="8">
        <f>S10-V10</f>
        <v/>
      </c>
      <c r="X10" s="9">
        <f>IFERROR(W10/S10,0)</f>
        <v/>
      </c>
      <c r="Y10" s="4" t="inlineStr"/>
    </row>
    <row r="11" ht="60" customHeight="1">
      <c r="A11" s="4" t="n">
        <v>8</v>
      </c>
      <c r="B11" s="4" t="inlineStr">
        <is>
          <t>מערכת חשמל</t>
        </is>
      </c>
      <c r="C11" s="4" t="inlineStr">
        <is>
          <t>אל-פסק (UPS)</t>
        </is>
      </c>
      <c r="D11" s="4" t="inlineStr">
        <is>
          <t>בדיקת אל פסק</t>
        </is>
      </c>
      <c r="E11" s="4" t="inlineStr">
        <is>
          <t>תלת חודשית</t>
        </is>
      </c>
      <c r="F11" s="5" t="inlineStr">
        <is>
          <t>A — נתון קיים בבקר (אוטומציה מיידית)</t>
        </is>
      </c>
      <c r="G11" s="6" t="n">
        <v>4</v>
      </c>
      <c r="H11" s="4" t="inlineStr">
        <is>
          <t>ניקיון החדר, מתחי/זרמי כניסה ויציאה ותדירות — נמדדים ידנית מהמסך</t>
        </is>
      </c>
      <c r="I11" s="4" t="inlineStr">
        <is>
          <t>הוראות יצרן / המשכיות תפעולית קריטית</t>
        </is>
      </c>
      <c r="J11" s="4" t="inlineStr">
        <is>
          <t>כן — תוכנת ניהול ה-UPS מדווחת את כל הפרמטרים הללו ברציפות</t>
        </is>
      </c>
      <c r="K11" s="4" t="inlineStr">
        <is>
          <t>לא נדרש (קיים)</t>
        </is>
      </c>
      <c r="L11" s="4" t="inlineStr">
        <is>
          <t>לא</t>
        </is>
      </c>
      <c r="M11" s="4" t="inlineStr">
        <is>
          <t>כן — מלא לפרמטרים החשמליים, ניקיון פיזי נשאר</t>
        </is>
      </c>
      <c r="N11" s="7" t="inlineStr">
        <is>
          <t>SKIP/INSPECT</t>
        </is>
      </c>
      <c r="O11" s="4" t="inlineStr">
        <is>
          <t>כל הפרמטרים בטווח ברציפות (ניטור תוכנת UPS)</t>
        </is>
      </c>
      <c r="P11" s="4" t="inlineStr">
        <is>
          <t>ביקור פיזי לניקיון/הזעת סוללות אחת לרבעון (ללא תלות בסטטוס)</t>
        </is>
      </c>
      <c r="Q11" s="4" t="inlineStr">
        <is>
          <t>התרעת UPS (עומס/סוללה/מעקף)</t>
        </is>
      </c>
      <c r="R11" s="6" t="n">
        <v>20</v>
      </c>
      <c r="S11" s="8">
        <f>G11*R11/60</f>
        <v/>
      </c>
      <c r="T11" s="6" t="n">
        <v>4</v>
      </c>
      <c r="U11" s="6" t="n">
        <v>10</v>
      </c>
      <c r="V11" s="8">
        <f>T11*U11/60</f>
        <v/>
      </c>
      <c r="W11" s="8">
        <f>S11-V11</f>
        <v/>
      </c>
      <c r="X11" s="9">
        <f>IFERROR(W11/S11,0)</f>
        <v/>
      </c>
      <c r="Y11" s="4" t="inlineStr">
        <is>
          <t>הזמן פר-ביקור קטן כי הבדיקה ממוקדת בניקיון בלבד; הפרמטרים החשמליים נצפים מרחוק</t>
        </is>
      </c>
    </row>
    <row r="12" ht="60" customHeight="1">
      <c r="A12" s="4" t="n">
        <v>9</v>
      </c>
      <c r="B12" s="4" t="inlineStr">
        <is>
          <t>מערכת חשמל</t>
        </is>
      </c>
      <c r="C12" s="4" t="inlineStr">
        <is>
          <t>שנאים</t>
        </is>
      </c>
      <c r="D12" s="4" t="inlineStr">
        <is>
          <t>בדיקת שנאים</t>
        </is>
      </c>
      <c r="E12" s="4" t="inlineStr">
        <is>
          <t>שבועית</t>
        </is>
      </c>
      <c r="F12" s="5" t="inlineStr">
        <is>
          <t>B — נדרש חיישן IoT נוסף</t>
        </is>
      </c>
      <c r="G12" s="6" t="n">
        <v>52</v>
      </c>
      <c r="H12" s="4" t="inlineStr">
        <is>
          <t>זמזומים, טמפ' (מעל 95° לא תקין), תקינות ונטות/מפוחים וציוד בטיחות נלווה</t>
        </is>
      </c>
      <c r="I12" s="4" t="inlineStr">
        <is>
          <t>הוראות יצרן / חוק החשמל (עקיף)</t>
        </is>
      </c>
      <c r="J12" s="4" t="inlineStr">
        <is>
          <t>חלקי — טמפ' שנאי מודרני מדווחת לרוב לבקר, זמזום/ציוד בטיחות לא</t>
        </is>
      </c>
      <c r="K12" s="4" t="inlineStr">
        <is>
          <t>כן — חיישן טמפ' שנאי אם חסר</t>
        </is>
      </c>
      <c r="L12" s="4" t="inlineStr">
        <is>
          <t>לא</t>
        </is>
      </c>
      <c r="M12" s="4" t="inlineStr">
        <is>
          <t>כן — חלקי</t>
        </is>
      </c>
      <c r="N12" s="7" t="inlineStr">
        <is>
          <t>SKIP/INSPECT</t>
        </is>
      </c>
      <c r="O12" s="4" t="inlineStr">
        <is>
          <t>טמפ' בטווח התקין ברציפות</t>
        </is>
      </c>
      <c r="P12" s="4" t="inlineStr">
        <is>
          <t>ביקור פיזי חודשי קבוע + מיידי בחריגת טמפ'</t>
        </is>
      </c>
      <c r="Q12" s="4" t="inlineStr">
        <is>
          <t>טמפ' מעל 95° / זמזום חריג מדווח</t>
        </is>
      </c>
      <c r="R12" s="6" t="n">
        <v>15</v>
      </c>
      <c r="S12" s="8">
        <f>G12*R12/60</f>
        <v/>
      </c>
      <c r="T12" s="6" t="n">
        <v>12</v>
      </c>
      <c r="U12" s="6" t="n">
        <v>15</v>
      </c>
      <c r="V12" s="8">
        <f>T12*U12/60</f>
        <v/>
      </c>
      <c r="W12" s="8">
        <f>S12-V12</f>
        <v/>
      </c>
      <c r="X12" s="9">
        <f>IFERROR(W12/S12,0)</f>
        <v/>
      </c>
      <c r="Y12" s="4" t="inlineStr"/>
    </row>
    <row r="13" ht="60" customHeight="1">
      <c r="A13" s="4" t="n">
        <v>10</v>
      </c>
      <c r="B13" s="4" t="inlineStr">
        <is>
          <t>גנרטורים</t>
        </is>
      </c>
      <c r="C13" s="4" t="inlineStr">
        <is>
          <t>גנרטור דיזל — בריקם</t>
        </is>
      </c>
      <c r="D13" s="4" t="inlineStr">
        <is>
          <t>בדיקת גנרטור בריקם</t>
        </is>
      </c>
      <c r="E13" s="4" t="inlineStr">
        <is>
          <t>שבועית</t>
        </is>
      </c>
      <c r="F13" s="5" t="inlineStr">
        <is>
          <t>A — נתון קיים בבקר (אוטומציה מיידית)</t>
        </is>
      </c>
      <c r="G13" s="6" t="n">
        <v>52</v>
      </c>
      <c r="H13" s="4" t="inlineStr">
        <is>
          <t>ניתוק מתנע, מתח 400V, תדירות 50Hz, לחץ שמן, טמפ' מי מנוע, רעשים וטעינת מצבר</t>
        </is>
      </c>
      <c r="I13" s="4" t="inlineStr">
        <is>
          <t>הוראות יצרן + ביטוח (מוכנות חירום/גיבוי חשמל)</t>
        </is>
      </c>
      <c r="J13" s="4" t="inlineStr">
        <is>
          <t>כן — רוב בקרי הגנרטור המודרניים (DSE וכד') מדווחים את כל אלה</t>
        </is>
      </c>
      <c r="K13" s="4" t="inlineStr">
        <is>
          <t>לא נדרש (קיים)</t>
        </is>
      </c>
      <c r="L13" s="4" t="inlineStr">
        <is>
          <t>לא (אך יש דרישת ביטוח/SLA לתיעוד הפעלה תקופתית)</t>
        </is>
      </c>
      <c r="M13" s="4" t="inlineStr">
        <is>
          <t>כן — קריאת הנתונים; ההפעלה עצמה (ריצה בפועל) נשארת</t>
        </is>
      </c>
      <c r="N13" s="10" t="inlineStr">
        <is>
          <t>INSPECT (מדורג)</t>
        </is>
      </c>
      <c r="O13" s="4" t="inlineStr">
        <is>
          <t>לא רלוונטי — יש חובה תיעודית להרצה תקופתית</t>
        </is>
      </c>
      <c r="P13" s="4" t="inlineStr">
        <is>
          <t>ברירת מחדל: הרצה שבועית + קריאת נתונים מהבקר (זמן קצר יותר, ללא רישום ידני)</t>
        </is>
      </c>
      <c r="Q13" s="4" t="inlineStr">
        <is>
          <t>אי-עמידה בטווח מתח/תדירות/לחץ/טמפ' בהרצה</t>
        </is>
      </c>
      <c r="R13" s="6" t="n">
        <v>20</v>
      </c>
      <c r="S13" s="8">
        <f>G13*R13/60</f>
        <v/>
      </c>
      <c r="T13" s="6" t="n">
        <v>52</v>
      </c>
      <c r="U13" s="6" t="n">
        <v>12</v>
      </c>
      <c r="V13" s="8">
        <f>T13*U13/60</f>
        <v/>
      </c>
      <c r="W13" s="8">
        <f>S13-V13</f>
        <v/>
      </c>
      <c r="X13" s="9">
        <f>IFERROR(W13/S13,0)</f>
        <v/>
      </c>
      <c r="Y13" s="4" t="inlineStr">
        <is>
          <t>ההרצה הפיזית נשמרת (חובת מוכנות חירום) אך הרישום הידני מוחלף בקריאה מהבקר — חיסכון בזמן לא בתדירות</t>
        </is>
      </c>
    </row>
    <row r="14" ht="60" customHeight="1">
      <c r="A14" s="4" t="n">
        <v>11</v>
      </c>
      <c r="B14" s="4" t="inlineStr">
        <is>
          <t>מיזוג אוויר</t>
        </is>
      </c>
      <c r="C14" s="4" t="inlineStr">
        <is>
          <t>צ'ילר</t>
        </is>
      </c>
      <c r="D14" s="4" t="inlineStr">
        <is>
          <t>בדיקת צ'ילרים</t>
        </is>
      </c>
      <c r="E14" s="4" t="inlineStr">
        <is>
          <t>שבועית</t>
        </is>
      </c>
      <c r="F14" s="5" t="inlineStr">
        <is>
          <t>B — נדרש חיישן IoT נוסף</t>
        </is>
      </c>
      <c r="G14" s="6" t="n">
        <v>52</v>
      </c>
      <c r="H14" s="4" t="inlineStr">
        <is>
          <t>הקשבה לרעשים חריגים, כתמי שמן/מים, ניקוי מסננים ותקינות בידוד</t>
        </is>
      </c>
      <c r="I14" s="4" t="inlineStr">
        <is>
          <t>הוראות יצרן / SLA אחזקה</t>
        </is>
      </c>
      <c r="J14" s="4" t="inlineStr">
        <is>
          <t>לא — רעש/דליפה/בידוד אינם נמדדים כיום</t>
        </is>
      </c>
      <c r="K14" s="4" t="inlineStr">
        <is>
          <t>כן — חיישן רטט/אקוסטי + חיישן דליפת נוזלים</t>
        </is>
      </c>
      <c r="L14" s="4" t="inlineStr">
        <is>
          <t>לא</t>
        </is>
      </c>
      <c r="M14" s="4" t="inlineStr">
        <is>
          <t>חלקי</t>
        </is>
      </c>
      <c r="N14" s="10" t="inlineStr">
        <is>
          <t>INSPECT (מדורג)</t>
        </is>
      </c>
      <c r="O14" s="4" t="inlineStr">
        <is>
          <t>אין התרעת רטט/דליפה וצריכת האנרגיה תקינה</t>
        </is>
      </c>
      <c r="P14" s="4" t="inlineStr">
        <is>
          <t>ביקור פיזי חודשי קבוע (ניקוי מסננים) + מיידי בהתרעת חיישן</t>
        </is>
      </c>
      <c r="Q14" s="4" t="inlineStr">
        <is>
          <t>התרעת רטט/דליפה מתמשכת או ירידת ביצועים</t>
        </is>
      </c>
      <c r="R14" s="6" t="n">
        <v>25</v>
      </c>
      <c r="S14" s="8">
        <f>G14*R14/60</f>
        <v/>
      </c>
      <c r="T14" s="6" t="n">
        <v>12</v>
      </c>
      <c r="U14" s="6" t="n">
        <v>25</v>
      </c>
      <c r="V14" s="8">
        <f>T14*U14/60</f>
        <v/>
      </c>
      <c r="W14" s="8">
        <f>S14-V14</f>
        <v/>
      </c>
      <c r="X14" s="9">
        <f>IFERROR(W14/S14,0)</f>
        <v/>
      </c>
      <c r="Y14" s="4" t="inlineStr">
        <is>
          <t>מ-52 ביקורים לשנה ל-12, בתוספת מקרי חריגה</t>
        </is>
      </c>
    </row>
    <row r="15" ht="60" customHeight="1">
      <c r="A15" s="4" t="n">
        <v>12</v>
      </c>
      <c r="B15" s="4" t="inlineStr">
        <is>
          <t>מיזוג אוויר</t>
        </is>
      </c>
      <c r="C15" s="4" t="inlineStr">
        <is>
          <t>יחידת טיפול באוויר (יט"א)</t>
        </is>
      </c>
      <c r="D15" s="4" t="inlineStr">
        <is>
          <t>בדיקת יט"אות</t>
        </is>
      </c>
      <c r="E15" s="4" t="inlineStr">
        <is>
          <t>שבועית</t>
        </is>
      </c>
      <c r="F15" s="5" t="inlineStr">
        <is>
          <t>B — נדרש חיישן IoT נוסף</t>
        </is>
      </c>
      <c r="G15" s="6" t="n">
        <v>52</v>
      </c>
      <c r="H15" s="4" t="inlineStr">
        <is>
          <t>בדיקה ויזואלית לרעשים/רעידות והפרש טמפ' אוויר ביציאה מהמזגן</t>
        </is>
      </c>
      <c r="I15" s="4" t="inlineStr">
        <is>
          <t>הוראות יצרן</t>
        </is>
      </c>
      <c r="J15" s="4" t="inlineStr">
        <is>
          <t>חלקי — הפרש טמפ' ניתן לניטור אם קיים חיישן ΔT, רעש/רעידות לא</t>
        </is>
      </c>
      <c r="K15" s="4" t="inlineStr">
        <is>
          <t>כן — חיישן הפרש טמפ'/לחץ על היחידה</t>
        </is>
      </c>
      <c r="L15" s="4" t="inlineStr">
        <is>
          <t>לא</t>
        </is>
      </c>
      <c r="M15" s="4" t="inlineStr">
        <is>
          <t>כן — ברובו</t>
        </is>
      </c>
      <c r="N15" s="7" t="inlineStr">
        <is>
          <t>SKIP/INSPECT</t>
        </is>
      </c>
      <c r="O15" s="4" t="inlineStr">
        <is>
          <t>הפרש הטמפ' בטווח היעד ואין אזעקת יחידה</t>
        </is>
      </c>
      <c r="P15" s="4" t="inlineStr">
        <is>
          <t>ביקור פיזי חודשי + מיידי בחריגה</t>
        </is>
      </c>
      <c r="Q15" s="4" t="inlineStr">
        <is>
          <t>הפרש טמפ' מחוץ לטווח / אזעקת מנוע-רצועה</t>
        </is>
      </c>
      <c r="R15" s="6" t="n">
        <v>20</v>
      </c>
      <c r="S15" s="8">
        <f>G15*R15/60</f>
        <v/>
      </c>
      <c r="T15" s="6" t="n">
        <v>12</v>
      </c>
      <c r="U15" s="6" t="n">
        <v>20</v>
      </c>
      <c r="V15" s="8">
        <f>T15*U15/60</f>
        <v/>
      </c>
      <c r="W15" s="8">
        <f>S15-V15</f>
        <v/>
      </c>
      <c r="X15" s="9">
        <f>IFERROR(W15/S15,0)</f>
        <v/>
      </c>
      <c r="Y15" s="4" t="inlineStr"/>
    </row>
    <row r="16" ht="60" customHeight="1">
      <c r="A16" s="4" t="n">
        <v>13</v>
      </c>
      <c r="B16" s="4" t="inlineStr">
        <is>
          <t>מיזוג אוויר</t>
        </is>
      </c>
      <c r="C16" s="4" t="inlineStr">
        <is>
          <t>VRF — יחידות פנימיות/חיצוניות</t>
        </is>
      </c>
      <c r="D16" s="4" t="inlineStr">
        <is>
          <t>בדיקת מערכת מיזוג אוויר VRF</t>
        </is>
      </c>
      <c r="E16" s="4" t="inlineStr">
        <is>
          <t>תלת חודשי</t>
        </is>
      </c>
      <c r="F16" s="5" t="inlineStr">
        <is>
          <t>A — נתון קיים בבקר (אוטומציה מיידית)</t>
        </is>
      </c>
      <c r="G16" s="6" t="n">
        <v>4</v>
      </c>
      <c r="H16" s="4" t="inlineStr">
        <is>
          <t>בדיקה ויזואלית לנזק מכני/בידוד/קורוזיה, רעשים, ניקוזים ובקרת מערכת</t>
        </is>
      </c>
      <c r="I16" s="4" t="inlineStr">
        <is>
          <t>הוראות יצרן</t>
        </is>
      </c>
      <c r="J16" s="4" t="inlineStr">
        <is>
          <t>כן — מרכזת VRF מדווחת קודי תקלה ואזהרה</t>
        </is>
      </c>
      <c r="K16" s="4" t="inlineStr">
        <is>
          <t>לא נדרש (קיים)</t>
        </is>
      </c>
      <c r="L16" s="4" t="inlineStr">
        <is>
          <t>לא</t>
        </is>
      </c>
      <c r="M16" s="4" t="inlineStr">
        <is>
          <t>כן — ברובו</t>
        </is>
      </c>
      <c r="N16" s="7" t="inlineStr">
        <is>
          <t>SKIP/INSPECT</t>
        </is>
      </c>
      <c r="O16" s="4" t="inlineStr">
        <is>
          <t>אין קודי תקלה/אזהרה מהמרכזת וצריכת אנרגיה תקינה</t>
        </is>
      </c>
      <c r="P16" s="4" t="inlineStr">
        <is>
          <t>ביקור פיזי חצי-שנתי (ויזואלי/ניקוזים) + מיידי בקוד אזהרה</t>
        </is>
      </c>
      <c r="Q16" s="4" t="inlineStr">
        <is>
          <t>קוד תקלה קריטי מהמרכזת</t>
        </is>
      </c>
      <c r="R16" s="6" t="n">
        <v>40</v>
      </c>
      <c r="S16" s="8">
        <f>G16*R16/60</f>
        <v/>
      </c>
      <c r="T16" s="6" t="n">
        <v>2</v>
      </c>
      <c r="U16" s="6" t="n">
        <v>40</v>
      </c>
      <c r="V16" s="8">
        <f>T16*U16/60</f>
        <v/>
      </c>
      <c r="W16" s="8">
        <f>S16-V16</f>
        <v/>
      </c>
      <c r="X16" s="9">
        <f>IFERROR(W16/S16,0)</f>
        <v/>
      </c>
      <c r="Y16" s="4" t="inlineStr"/>
    </row>
    <row r="17" ht="60" customHeight="1">
      <c r="A17" s="4" t="n">
        <v>14</v>
      </c>
      <c r="B17" s="4" t="inlineStr">
        <is>
          <t>מיזוג אוויר</t>
        </is>
      </c>
      <c r="C17" s="4" t="inlineStr">
        <is>
          <t>מפוח נחשון</t>
        </is>
      </c>
      <c r="D17" s="4" t="inlineStr">
        <is>
          <t>בדיקת מפוח נחשון</t>
        </is>
      </c>
      <c r="E17" s="4" t="inlineStr">
        <is>
          <t>תלת חודשי</t>
        </is>
      </c>
      <c r="F17" s="5" t="inlineStr">
        <is>
          <t>C — רגולציה/ביטוח/בטיחות (לא ניתן לביטול)</t>
        </is>
      </c>
      <c r="G17" s="6" t="n">
        <v>4</v>
      </c>
      <c r="H17" s="4" t="inlineStr">
        <is>
          <t>ניקוי מגש ניקוז ובדיקת נזילות, פתיחה/סגירת ברזים והחלפת מילוי מסנן</t>
        </is>
      </c>
      <c r="I17" s="4" t="inlineStr">
        <is>
          <t>הוראות יצרן</t>
        </is>
      </c>
      <c r="J17" s="4" t="inlineStr">
        <is>
          <t>לא — פעולות שירות/ניקוי פיזיות במהותן</t>
        </is>
      </c>
      <c r="K17" s="4" t="inlineStr">
        <is>
          <t>כן — חיישן נזילה במגש הניקוז יכול להתריע מוקדם</t>
        </is>
      </c>
      <c r="L17" s="4" t="inlineStr">
        <is>
          <t>לא (אך זו בעיקרה עבודת שירות ולא רק 'בדיקה')</t>
        </is>
      </c>
      <c r="M17" s="4" t="inlineStr">
        <is>
          <t>חלקי</t>
        </is>
      </c>
      <c r="N17" s="11" t="inlineStr">
        <is>
          <t>KEEP (עם הוספת חיישן התרעה)</t>
        </is>
      </c>
      <c r="O17" s="4" t="inlineStr">
        <is>
          <t>לא רלוונטי — נדרשת עבודת אחזקה פיזית (ניקוי/החלפת מסנן)</t>
        </is>
      </c>
      <c r="P17" s="4" t="inlineStr">
        <is>
          <t>לא רלוונטי — ראה KEEP</t>
        </is>
      </c>
      <c r="Q17" s="4" t="inlineStr">
        <is>
          <t>חיישן נזילה מתריע → תיקון מיידי בין המחזורים</t>
        </is>
      </c>
      <c r="R17" s="6" t="n">
        <v>25</v>
      </c>
      <c r="S17" s="8">
        <f>G17*R17/60</f>
        <v/>
      </c>
      <c r="T17" s="6" t="n">
        <v>4</v>
      </c>
      <c r="U17" s="6" t="n">
        <v>20</v>
      </c>
      <c r="V17" s="8">
        <f>T17*U17/60</f>
        <v/>
      </c>
      <c r="W17" s="8">
        <f>S17-V17</f>
        <v/>
      </c>
      <c r="X17" s="9">
        <f>IFERROR(W17/S17,0)</f>
        <v/>
      </c>
      <c r="Y17" s="4" t="inlineStr">
        <is>
          <t>החיסכון כאן קטן ומגיע מייעול משך הביקור, לא מביטול — דוגמה לכך שלא כל משימה ניתנת ל-SKIP</t>
        </is>
      </c>
    </row>
    <row r="18" ht="60" customHeight="1">
      <c r="A18" s="4" t="n">
        <v>15</v>
      </c>
      <c r="B18" s="4" t="inlineStr">
        <is>
          <t>מערכות מים</t>
        </is>
      </c>
      <c r="C18" s="4" t="inlineStr">
        <is>
          <t>משאבות מים</t>
        </is>
      </c>
      <c r="D18" s="4" t="inlineStr">
        <is>
          <t>בדיקת משאבות מים</t>
        </is>
      </c>
      <c r="E18" s="4" t="inlineStr">
        <is>
          <t>שבועי</t>
        </is>
      </c>
      <c r="F18" s="5" t="inlineStr">
        <is>
          <t>B — נדרש חיישן IoT נוסף</t>
        </is>
      </c>
      <c r="G18" s="6" t="n">
        <v>52</v>
      </c>
      <c r="H18" s="4" t="inlineStr">
        <is>
          <t>קריאת לחצי יניקה/סניקה, הקשבה לרעידות/רעשים ובדיקת נזילות</t>
        </is>
      </c>
      <c r="I18" s="4" t="inlineStr">
        <is>
          <t>הוראות יצרן / SLA</t>
        </is>
      </c>
      <c r="J18" s="4" t="inlineStr">
        <is>
          <t>כן — לחצים ניתנים לניטור דיגיטלי; רעש/רעד דורש חיישן ייעודי</t>
        </is>
      </c>
      <c r="K18" s="4" t="inlineStr">
        <is>
          <t>כן — חיישן רטט למשאבה</t>
        </is>
      </c>
      <c r="L18" s="4" t="inlineStr">
        <is>
          <t>לא</t>
        </is>
      </c>
      <c r="M18" s="4" t="inlineStr">
        <is>
          <t>כן — ברובו</t>
        </is>
      </c>
      <c r="N18" s="7" t="inlineStr">
        <is>
          <t>SKIP/INSPECT</t>
        </is>
      </c>
      <c r="O18" s="4" t="inlineStr">
        <is>
          <t>לחצים בטווח היעד ואין התרעת רטט</t>
        </is>
      </c>
      <c r="P18" s="4" t="inlineStr">
        <is>
          <t>ביקור פיזי חודשי + מיידי בהתרעה</t>
        </is>
      </c>
      <c r="Q18" s="4" t="inlineStr">
        <is>
          <t>התרעת רטט/אובדן לחץ</t>
        </is>
      </c>
      <c r="R18" s="6" t="n">
        <v>12</v>
      </c>
      <c r="S18" s="8">
        <f>G18*R18/60</f>
        <v/>
      </c>
      <c r="T18" s="6" t="n">
        <v>12</v>
      </c>
      <c r="U18" s="6" t="n">
        <v>12</v>
      </c>
      <c r="V18" s="8">
        <f>T18*U18/60</f>
        <v/>
      </c>
      <c r="W18" s="8">
        <f>S18-V18</f>
        <v/>
      </c>
      <c r="X18" s="9">
        <f>IFERROR(W18/S18,0)</f>
        <v/>
      </c>
      <c r="Y18" s="4" t="inlineStr"/>
    </row>
    <row r="19" ht="60" customHeight="1">
      <c r="A19" s="4" t="n">
        <v>16</v>
      </c>
      <c r="B19" s="4" t="inlineStr">
        <is>
          <t>מערכות מים</t>
        </is>
      </c>
      <c r="C19" s="4" t="inlineStr">
        <is>
          <t>מגדלי קירור</t>
        </is>
      </c>
      <c r="D19" s="4" t="inlineStr">
        <is>
          <t>בדיקת מגדלי קירור</t>
        </is>
      </c>
      <c r="E19" s="4" t="inlineStr">
        <is>
          <t>יומי</t>
        </is>
      </c>
      <c r="F19" s="5" t="inlineStr">
        <is>
          <t>B — נדרש חיישן IoT נוסף</t>
        </is>
      </c>
      <c r="G19" s="6" t="n">
        <v>365</v>
      </c>
      <c r="H19" s="4" t="inlineStr">
        <is>
          <t>רעשים/רעידות, נזילות, מוליכות (מיקרוסימנס), קריאת מונה מים, מפלס חומרי טיפול וטיימרים</t>
        </is>
      </c>
      <c r="I19" s="4" t="inlineStr">
        <is>
          <t>הוראות יצרן / SLA אנרגיה</t>
        </is>
      </c>
      <c r="J19" s="4" t="inlineStr">
        <is>
          <t>כן — מוליכות, מפלס חומרים וספירת שעות ניתנים לניטור דיגיטלי במגדלים מודרניים</t>
        </is>
      </c>
      <c r="K19" s="4" t="inlineStr">
        <is>
          <t>כן, אם המגדל ישן — חיישן מוליכות/מפלס</t>
        </is>
      </c>
      <c r="L19" s="4" t="inlineStr">
        <is>
          <t>לא</t>
        </is>
      </c>
      <c r="M19" s="4" t="inlineStr">
        <is>
          <t>כן — מלא לפרמטרי המים/כימיה</t>
        </is>
      </c>
      <c r="N19" s="7" t="inlineStr">
        <is>
          <t>SKIP (ברירת מחדל דיגיטלית)</t>
        </is>
      </c>
      <c r="O19" s="4" t="inlineStr">
        <is>
          <t>מוליכות ומפלסי חומרי הטיפול בטווח היעד</t>
        </is>
      </c>
      <c r="P19" s="4" t="inlineStr">
        <is>
          <t>חריגה קלה במוליכות / התקרבות לסף מפלס</t>
        </is>
      </c>
      <c r="Q19" s="4" t="inlineStr">
        <is>
          <t>חריגת מוליכות משמעותית / אזל מלאי חומר טיפול</t>
        </is>
      </c>
      <c r="R19" s="6" t="n">
        <v>15</v>
      </c>
      <c r="S19" s="8">
        <f>G19*R19/60</f>
        <v/>
      </c>
      <c r="T19" s="6" t="n">
        <v>25</v>
      </c>
      <c r="U19" s="6" t="n">
        <v>12</v>
      </c>
      <c r="V19" s="8">
        <f>T19*U19/60</f>
        <v/>
      </c>
      <c r="W19" s="8">
        <f>S19-V19</f>
        <v/>
      </c>
      <c r="X19" s="9">
        <f>IFERROR(W19/S19,0)</f>
        <v/>
      </c>
      <c r="Y19" s="4" t="inlineStr">
        <is>
          <t>בדיקת רעשים/רעידות פיזית ממשיכה בסבב השבועי הנפרד (ר' שורה הבאה — קטגוריה C, לג'יונלה)</t>
        </is>
      </c>
    </row>
    <row r="20" ht="60" customHeight="1">
      <c r="A20" s="4" t="n">
        <v>17</v>
      </c>
      <c r="B20" s="4" t="inlineStr">
        <is>
          <t>מערכת חשמל</t>
        </is>
      </c>
      <c r="C20" s="4" t="inlineStr">
        <is>
          <t>לוחות חשמל מתח נמוך</t>
        </is>
      </c>
      <c r="D20" s="4" t="inlineStr">
        <is>
          <t>בדיקת לוחות חשמל</t>
        </is>
      </c>
      <c r="E20" s="4" t="inlineStr">
        <is>
          <t>חצי שנתית</t>
        </is>
      </c>
      <c r="F20" s="5" t="inlineStr">
        <is>
          <t>B — נדרש חיישן IoT נוסף</t>
        </is>
      </c>
      <c r="G20" s="6" t="n">
        <v>2</v>
      </c>
      <c r="H20" s="4" t="inlineStr">
        <is>
          <t>פעולת נורות סימון/אזעקה, רעשים, שילוט, מדידת זרמי פעולה של מנועים וכיול מדי זרם/מתח</t>
        </is>
      </c>
      <c r="I20" s="4" t="inlineStr">
        <is>
          <t>הוראות יצרן / חוק החשמל (עקיף — לא תחליף לבדיקת בודק מוסמך)</t>
        </is>
      </c>
      <c r="J20" s="4" t="inlineStr">
        <is>
          <t>חלקי — זרם/מתח לעומסים מרכזיים מדווח בלוחות עם מוני אנרגיה, לא בכל הלוחות</t>
        </is>
      </c>
      <c r="K20" s="4" t="inlineStr">
        <is>
          <t>כן — מצלמת תרמוגרפיה/חיישן זרם להתקנה קבועה בלוחות קריטיים</t>
        </is>
      </c>
      <c r="L20" s="4" t="inlineStr">
        <is>
          <t>לא (הבדיקה הפנימית עצמה; קיימת בנפרד חובת בודק חשמל מוסמך – ר' קטגוריה KEEP)</t>
        </is>
      </c>
      <c r="M20" s="4" t="inlineStr">
        <is>
          <t>חלקי</t>
        </is>
      </c>
      <c r="N20" s="10" t="inlineStr">
        <is>
          <t>INSPECT (מדורג)</t>
        </is>
      </c>
      <c r="O20" s="4" t="inlineStr">
        <is>
          <t>לא רלוונטי ברמה שנתית-חצי — נשמרת תדירות הבסיס</t>
        </is>
      </c>
      <c r="P20" s="4" t="inlineStr">
        <is>
          <t>ברירת מחדל: ביקור חצי-שנתי, מקוצר אם אין חריגת זרם/תרמוגרפיה מתמשכת</t>
        </is>
      </c>
      <c r="Q20" s="4" t="inlineStr">
        <is>
          <t>חריגת זרם/טמפרטורה בין הביקורים → קריאה מיידית</t>
        </is>
      </c>
      <c r="R20" s="6" t="n">
        <v>45</v>
      </c>
      <c r="S20" s="8">
        <f>G20*R20/60</f>
        <v/>
      </c>
      <c r="T20" s="6" t="n">
        <v>2</v>
      </c>
      <c r="U20" s="6" t="n">
        <v>30</v>
      </c>
      <c r="V20" s="8">
        <f>T20*U20/60</f>
        <v/>
      </c>
      <c r="W20" s="8">
        <f>S20-V20</f>
        <v/>
      </c>
      <c r="X20" s="9">
        <f>IFERROR(W20/S20,0)</f>
        <v/>
      </c>
      <c r="Y20" s="4" t="inlineStr">
        <is>
          <t>חיישני תרמוגרפיה קבועים מקצרים את זמן הביקור אך לא מבטלים אותו</t>
        </is>
      </c>
    </row>
    <row r="21" ht="60" customHeight="1">
      <c r="A21" s="4" t="n">
        <v>18</v>
      </c>
      <c r="B21" s="4" t="inlineStr">
        <is>
          <t>מערכות מים</t>
        </is>
      </c>
      <c r="C21" s="4" t="inlineStr">
        <is>
          <t>מגדלי קירור</t>
        </is>
      </c>
      <c r="D21" s="4" t="inlineStr">
        <is>
          <t>בדיקת מגדלי קירור (טיפול כימי/לגיונלה)</t>
        </is>
      </c>
      <c r="E21" s="4" t="inlineStr">
        <is>
          <t>שבועי</t>
        </is>
      </c>
      <c r="F21" s="5" t="inlineStr">
        <is>
          <t>C — רגולציה/ביטוח/בטיחות (לא ניתן לביטול)</t>
        </is>
      </c>
      <c r="G21" s="6" t="n">
        <v>52</v>
      </c>
      <c r="H21" s="4" t="inlineStr">
        <is>
          <t>כיוונון מצופים, הקשבה לרעשים בצירי מפוחים/מיסבים, בדיקת כלורידים (עד 1500) והזרמת ביוציד נגד אצות/לגיונלה</t>
        </is>
      </c>
      <c r="I21" s="4" t="inlineStr">
        <is>
          <t>תקנות בריאות הציבור למניעת לגיונלה במגדלי קירור + הוראות יצרן</t>
        </is>
      </c>
      <c r="J21" s="4" t="inlineStr">
        <is>
          <t>לא — טיפול כימי ובקרת לגיונלה מחייבים דגימה/פעולה פיזית</t>
        </is>
      </c>
      <c r="K21" s="4" t="inlineStr">
        <is>
          <t>לא רלוונטי כתחליף — ניתן להוסיף ניטור מוליכות/כלור רציף כתמיכה בלבד</t>
        </is>
      </c>
      <c r="L21" s="4" t="inlineStr">
        <is>
          <t>כן — מחייב עפ"י תקנות בריאות הציבור</t>
        </is>
      </c>
      <c r="M21" s="4" t="inlineStr">
        <is>
          <t>לא</t>
        </is>
      </c>
      <c r="N21" s="11" t="inlineStr">
        <is>
          <t>KEEP</t>
        </is>
      </c>
      <c r="O21" s="4" t="inlineStr">
        <is>
          <t>אסור — סיכון בריאותי (לגיונלה) הופך זאת לבדיקה שלא ניתן לדלג עליה</t>
        </is>
      </c>
      <c r="P21" s="4" t="inlineStr">
        <is>
          <t>לא רלוונטי — ראה KEEP</t>
        </is>
      </c>
      <c r="Q21" s="4" t="inlineStr">
        <is>
          <t>חריגת כלורידים/מוליכות → קריאה לחברת טיפול כימי מיידית</t>
        </is>
      </c>
      <c r="R21" s="6" t="n">
        <v>15</v>
      </c>
      <c r="S21" s="8">
        <f>G21*R21/60</f>
        <v/>
      </c>
      <c r="T21" s="6" t="n">
        <v>52</v>
      </c>
      <c r="U21" s="6" t="n">
        <v>15</v>
      </c>
      <c r="V21" s="8">
        <f>T21*U21/60</f>
        <v/>
      </c>
      <c r="W21" s="8">
        <f>S21-V21</f>
        <v/>
      </c>
      <c r="X21" s="9">
        <f>IFERROR(W21/S21,0)</f>
        <v/>
      </c>
      <c r="Y21" s="4" t="inlineStr">
        <is>
          <t>דוגמה מרכזית: אין קיצור תדירות למרות שקיימת טכנולוגיית ניטור, כי מקור החובה הוא בריאותי-רגולטורי</t>
        </is>
      </c>
    </row>
    <row r="22" ht="60" customHeight="1">
      <c r="A22" s="4" t="n">
        <v>19</v>
      </c>
      <c r="B22" s="4" t="inlineStr">
        <is>
          <t>כיבוי אש</t>
        </is>
      </c>
      <c r="C22" s="4" t="inlineStr">
        <is>
          <t>מטפה כיבוי אש</t>
        </is>
      </c>
      <c r="D22" s="4" t="inlineStr">
        <is>
          <t>בדיקת מטפה</t>
        </is>
      </c>
      <c r="E22" s="4" t="inlineStr">
        <is>
          <t>שנתי</t>
        </is>
      </c>
      <c r="F22" s="5" t="inlineStr">
        <is>
          <t>C — רגולציה/ביטוח/בטיחות (לא ניתן לביטול)</t>
        </is>
      </c>
      <c r="G22" s="6" t="n">
        <v>1</v>
      </c>
      <c r="H22" s="4" t="inlineStr">
        <is>
          <t>בדיקה ויזואלית מקיפה (מד לחץ, שיתוך, תבריג, אטמים, ידית, גלגלים, שסתום) — כ-40 סעיפי בדיקה לכל מטפה</t>
        </is>
      </c>
      <c r="I22" s="4" t="inlineStr">
        <is>
          <t>ת"י 1220 (מטפים ניידים לכיבוי אש) — בדיקה תקופתית מחייבת בדין</t>
        </is>
      </c>
      <c r="J22" s="4" t="inlineStr">
        <is>
          <t>לא — בדיקה פיזית/מכנית בהגדרה</t>
        </is>
      </c>
      <c r="K22" s="4" t="inlineStr">
        <is>
          <t>לא רלוונטי כתחליף</t>
        </is>
      </c>
      <c r="L22" s="4" t="inlineStr">
        <is>
          <t>כן — מחייב עפ"י תקן ולעיתים דורש גם בודק מוסמך חיצוני</t>
        </is>
      </c>
      <c r="M22" s="4" t="inlineStr">
        <is>
          <t>לא</t>
        </is>
      </c>
      <c r="N22" s="11" t="inlineStr">
        <is>
          <t>KEEP</t>
        </is>
      </c>
      <c r="O22" s="4" t="inlineStr">
        <is>
          <t>אסור — דרישת תקן מחייבת ללא תלות בטכנולוגיה קיימת</t>
        </is>
      </c>
      <c r="P22" s="4" t="inlineStr">
        <is>
          <t>לא רלוונטי — ראה KEEP</t>
        </is>
      </c>
      <c r="Q22" s="4" t="inlineStr">
        <is>
          <t>ליקוי שנמצא → החלפה/טיפול מיידי ותיוק באישורי בטיחות</t>
        </is>
      </c>
      <c r="R22" s="6" t="n">
        <v>8</v>
      </c>
      <c r="S22" s="8">
        <f>G22*R22/60</f>
        <v/>
      </c>
      <c r="T22" s="6" t="n">
        <v>1</v>
      </c>
      <c r="U22" s="6" t="n">
        <v>8</v>
      </c>
      <c r="V22" s="8">
        <f>T22*U22/60</f>
        <v/>
      </c>
      <c r="W22" s="8">
        <f>S22-V22</f>
        <v/>
      </c>
      <c r="X22" s="9">
        <f>IFERROR(W22/S22,0)</f>
        <v/>
      </c>
      <c r="Y22" s="4" t="inlineStr">
        <is>
          <t>חיסכון = 0 בכוונה — דוגמת 'שער' להראות שהמנוע לא ממליץ SKIP כשיש חובת תקן מפורשת</t>
        </is>
      </c>
    </row>
    <row r="23" ht="60" customHeight="1">
      <c r="A23" s="4" t="n">
        <v>20</v>
      </c>
      <c r="B23" s="4" t="inlineStr">
        <is>
          <t>כיבוי אש</t>
        </is>
      </c>
      <c r="C23" s="4" t="inlineStr">
        <is>
          <t>עמדת כיבוי אש</t>
        </is>
      </c>
      <c r="D23" s="4" t="inlineStr">
        <is>
          <t>בדיקת עמדות כיבוי אש</t>
        </is>
      </c>
      <c r="E23" s="4" t="inlineStr">
        <is>
          <t>חצי שנתית</t>
        </is>
      </c>
      <c r="F23" s="5" t="inlineStr">
        <is>
          <t>C — רגולציה/ביטוח/בטיחות (לא ניתן לביטול)</t>
        </is>
      </c>
      <c r="G23" s="6" t="n">
        <v>2</v>
      </c>
      <c r="H23" s="4" t="inlineStr">
        <is>
          <t>בדיקת מלאי (זרנוקים, מזנקים, גלגלון, מטף), תקינות מד לחץ ונזילות בצנרת</t>
        </is>
      </c>
      <c r="I23" s="4" t="inlineStr">
        <is>
          <t>תקנות/תקן כיבוי אש (עמדות כיבוי) + דרישת רשות כבאות והצלה</t>
        </is>
      </c>
      <c r="J23" s="4" t="inlineStr">
        <is>
          <t>לא — בדיקת מלאי/נזילות פיזית</t>
        </is>
      </c>
      <c r="K23" s="4" t="inlineStr">
        <is>
          <t>לא רלוונטי כתחליף</t>
        </is>
      </c>
      <c r="L23" s="4" t="inlineStr">
        <is>
          <t>כן</t>
        </is>
      </c>
      <c r="M23" s="4" t="inlineStr">
        <is>
          <t>לא</t>
        </is>
      </c>
      <c r="N23" s="11" t="inlineStr">
        <is>
          <t>KEEP</t>
        </is>
      </c>
      <c r="O23" s="4" t="inlineStr">
        <is>
          <t>אסור — דרישה רגולטורית מחייבת</t>
        </is>
      </c>
      <c r="P23" s="4" t="inlineStr">
        <is>
          <t>לא רלוונטי — ראה KEEP</t>
        </is>
      </c>
      <c r="Q23" s="4" t="inlineStr">
        <is>
          <t>חוסר במלאי/נזילות → השלמה/תיקון מיידי</t>
        </is>
      </c>
      <c r="R23" s="6" t="n">
        <v>20</v>
      </c>
      <c r="S23" s="8">
        <f>G23*R23/60</f>
        <v/>
      </c>
      <c r="T23" s="6" t="n">
        <v>2</v>
      </c>
      <c r="U23" s="6" t="n">
        <v>20</v>
      </c>
      <c r="V23" s="8">
        <f>T23*U23/60</f>
        <v/>
      </c>
      <c r="W23" s="8">
        <f>S23-V23</f>
        <v/>
      </c>
      <c r="X23" s="9">
        <f>IFERROR(W23/S23,0)</f>
        <v/>
      </c>
      <c r="Y23" s="4" t="inlineStr"/>
    </row>
    <row r="24" ht="60" customHeight="1">
      <c r="A24" s="4" t="n">
        <v>21</v>
      </c>
      <c r="B24" s="4" t="inlineStr">
        <is>
          <t>כיבוי אש</t>
        </is>
      </c>
      <c r="C24" s="4" t="inlineStr">
        <is>
          <t>משאבת כיבוי אש דיזל</t>
        </is>
      </c>
      <c r="D24" s="4" t="inlineStr">
        <is>
          <t>בדיקת משאבת כיבוי אש דיזל</t>
        </is>
      </c>
      <c r="E24" s="4" t="inlineStr">
        <is>
          <t>חצי שנתית</t>
        </is>
      </c>
      <c r="F24" s="5" t="inlineStr">
        <is>
          <t>C — רגולציה/ביטוח/בטיחות (לא ניתן לביטול)</t>
        </is>
      </c>
      <c r="G24" s="6" t="n">
        <v>2</v>
      </c>
      <c r="H24" s="4" t="inlineStr">
        <is>
          <t>בדיקת מצבר, דלק, מפלס מים, הפעלת TEST ורישום חום/לחצים בזמן ריצה</t>
        </is>
      </c>
      <c r="I24" s="4" t="inlineStr">
        <is>
          <t>תקן/רגולציית כיבוי אש למשאבות (מקביל ל-NFPA20) + דרישת ביטוח מפורשת</t>
        </is>
      </c>
      <c r="J24" s="4" t="inlineStr">
        <is>
          <t>חלקי — הרצה עצמה וקריאת נתונים בזמן אמת ניתנים לתיעוד דיגיטלי, אך ההפעלה הפיזית וההפעלה הידנית נדרשות</t>
        </is>
      </c>
      <c r="K24" s="4" t="inlineStr">
        <is>
          <t>לא רלוונטי כתחליף לחובה עצמה</t>
        </is>
      </c>
      <c r="L24" s="4" t="inlineStr">
        <is>
          <t>כן — מערכת בטיחות חיים קריטית + דרישת מבטח</t>
        </is>
      </c>
      <c r="M24" s="4" t="inlineStr">
        <is>
          <t>לא (רק תיעוד הנתונים ניתן לדיגיטציה)</t>
        </is>
      </c>
      <c r="N24" s="11" t="inlineStr">
        <is>
          <t>KEEP</t>
        </is>
      </c>
      <c r="O24" s="4" t="inlineStr">
        <is>
          <t>אסור — מערכת כיבוי אש קריטית ודרישת ביטוח מפורשת</t>
        </is>
      </c>
      <c r="P24" s="4" t="inlineStr">
        <is>
          <t>לא רלוונטי — ראה KEEP</t>
        </is>
      </c>
      <c r="Q24" s="4" t="inlineStr">
        <is>
          <t>כשל בהתנעה/חריגת פרמטר → קריאת שירות דחופה + דיווח למבטח</t>
        </is>
      </c>
      <c r="R24" s="6" t="n">
        <v>30</v>
      </c>
      <c r="S24" s="8">
        <f>G24*R24/60</f>
        <v/>
      </c>
      <c r="T24" s="6" t="n">
        <v>2</v>
      </c>
      <c r="U24" s="6" t="n">
        <v>25</v>
      </c>
      <c r="V24" s="8">
        <f>T24*U24/60</f>
        <v/>
      </c>
      <c r="W24" s="8">
        <f>S24-V24</f>
        <v/>
      </c>
      <c r="X24" s="9">
        <f>IFERROR(W24/S24,0)</f>
        <v/>
      </c>
      <c r="Y24" s="4" t="inlineStr">
        <is>
          <t>חיסכון קטן בזמן הרישום בלבד (מעבר לטופס דיגיטלי), לא בתדירות ההפעלה</t>
        </is>
      </c>
    </row>
    <row r="25" ht="60" customHeight="1">
      <c r="A25" s="4" t="n">
        <v>22</v>
      </c>
      <c r="B25" s="4" t="inlineStr">
        <is>
          <t>כיבוי אש</t>
        </is>
      </c>
      <c r="C25" s="4" t="inlineStr">
        <is>
          <t>ספרינקלרים ומשאבות כיבוי אש</t>
        </is>
      </c>
      <c r="D25" s="4" t="inlineStr">
        <is>
          <t>בדיקת ספרינקלרים</t>
        </is>
      </c>
      <c r="E25" s="4" t="inlineStr">
        <is>
          <t>שבועית</t>
        </is>
      </c>
      <c r="F25" s="5" t="inlineStr">
        <is>
          <t>C — רגולציה/ביטוח/בטיחות (לא ניתן לביטול)</t>
        </is>
      </c>
      <c r="G25" s="6" t="n">
        <v>52</v>
      </c>
      <c r="H25" s="4" t="inlineStr">
        <is>
          <t>הפעלת משאבת דיזל וחשמלית ל-10 דקות, בדיקת דלק/מצברים/נתיכים ומפלס מאגר מי כיבוי</t>
        </is>
      </c>
      <c r="I25" s="4" t="inlineStr">
        <is>
          <t>תקן כיבוי אש למערכות ספרינקלרים (מקביל ל-NFPA25) — בדיקה שבועית מחייבת</t>
        </is>
      </c>
      <c r="J25" s="4" t="inlineStr">
        <is>
          <t>חלקי — פרמטרים חשמליים/לחץ ניתנים לתיעוד דיגיטלי, אך ההפעלה הפיזית מחויבת</t>
        </is>
      </c>
      <c r="K25" s="4" t="inlineStr">
        <is>
          <t>לא רלוונטי כתחליף לחובה</t>
        </is>
      </c>
      <c r="L25" s="4" t="inlineStr">
        <is>
          <t>כן</t>
        </is>
      </c>
      <c r="M25" s="4" t="inlineStr">
        <is>
          <t>לא (רק תיעוד)</t>
        </is>
      </c>
      <c r="N25" s="11" t="inlineStr">
        <is>
          <t>KEEP</t>
        </is>
      </c>
      <c r="O25" s="4" t="inlineStr">
        <is>
          <t>אסור — דרישת תקן שבועית מפורשת למערכת כיבוי אש</t>
        </is>
      </c>
      <c r="P25" s="4" t="inlineStr">
        <is>
          <t>לא רלוונטי — ראה KEEP</t>
        </is>
      </c>
      <c r="Q25" s="4" t="inlineStr">
        <is>
          <t>כשל הפעלה/מפלס נמוך → קריאת שירות דחופה</t>
        </is>
      </c>
      <c r="R25" s="6" t="n">
        <v>35</v>
      </c>
      <c r="S25" s="8">
        <f>G25*R25/60</f>
        <v/>
      </c>
      <c r="T25" s="6" t="n">
        <v>52</v>
      </c>
      <c r="U25" s="6" t="n">
        <v>30</v>
      </c>
      <c r="V25" s="8">
        <f>T25*U25/60</f>
        <v/>
      </c>
      <c r="W25" s="8">
        <f>S25-V25</f>
        <v/>
      </c>
      <c r="X25" s="9">
        <f>IFERROR(W25/S25,0)</f>
        <v/>
      </c>
      <c r="Y25" s="4" t="inlineStr"/>
    </row>
    <row r="26" ht="60" customHeight="1">
      <c r="A26" s="4" t="n">
        <v>23</v>
      </c>
      <c r="B26" s="4" t="inlineStr">
        <is>
          <t>כיבוי אש</t>
        </is>
      </c>
      <c r="C26" s="4" t="inlineStr">
        <is>
          <t>חדר משאבות ספרינקלרים</t>
        </is>
      </c>
      <c r="D26" s="4" t="inlineStr">
        <is>
          <t>בדיקת חדר משאבות ספרינקלרים</t>
        </is>
      </c>
      <c r="E26" s="4" t="inlineStr">
        <is>
          <t>יומי</t>
        </is>
      </c>
      <c r="F26" s="5" t="inlineStr">
        <is>
          <t>C — רגולציה/ביטוח/בטיחות (לא ניתן לביטול)</t>
        </is>
      </c>
      <c r="G26" s="6" t="n">
        <v>365</v>
      </c>
      <c r="H26" s="4" t="inlineStr">
        <is>
          <t>בדיקה ויזואלית, נזילות, תקינות לוחות חשמל, גלישת מאגר וניקיון החדר</t>
        </is>
      </c>
      <c r="I26" s="4" t="inlineStr">
        <is>
          <t>תקן/רגולציית כיבוי אש (בדיקה יומית ויזואלית) — מערכת בטיחות חיים</t>
        </is>
      </c>
      <c r="J26" s="4" t="inlineStr">
        <is>
          <t>חלקי — סטטוס לוחות ומפלס מאגר ניתנים לניטור, נזילה/ניקיון פיזי לא</t>
        </is>
      </c>
      <c r="K26" s="4" t="inlineStr">
        <is>
          <t>כן — חיישן נזילה/מפלס כתמיכה (לא כתחליף לחובה)</t>
        </is>
      </c>
      <c r="L26" s="4" t="inlineStr">
        <is>
          <t>כן — בדיקה ויזואלית יומית נדרשת עבור מערכת בטיחות חיים</t>
        </is>
      </c>
      <c r="M26" s="4" t="inlineStr">
        <is>
          <t>לא (רק תמיכה בהתרעה מוקדמת)</t>
        </is>
      </c>
      <c r="N26" s="11" t="inlineStr">
        <is>
          <t>KEEP</t>
        </is>
      </c>
      <c r="O26" s="4" t="inlineStr">
        <is>
          <t>אסור — מערכת כיבוי אש קריטית, נדרשת בדיקה ויזואלית יומית</t>
        </is>
      </c>
      <c r="P26" s="4" t="inlineStr">
        <is>
          <t>לא רלוונטי — ראה KEEP</t>
        </is>
      </c>
      <c r="Q26" s="4" t="inlineStr">
        <is>
          <t>נזילה/תקלת לוח/גלישה → קריאת שירות מיידית</t>
        </is>
      </c>
      <c r="R26" s="6" t="n">
        <v>8</v>
      </c>
      <c r="S26" s="8">
        <f>G26*R26/60</f>
        <v/>
      </c>
      <c r="T26" s="6" t="n">
        <v>365</v>
      </c>
      <c r="U26" s="6" t="n">
        <v>6</v>
      </c>
      <c r="V26" s="8">
        <f>T26*U26/60</f>
        <v/>
      </c>
      <c r="W26" s="8">
        <f>S26-V26</f>
        <v/>
      </c>
      <c r="X26" s="9">
        <f>IFERROR(W26/S26,0)</f>
        <v/>
      </c>
      <c r="Y26" s="4" t="inlineStr">
        <is>
          <t>חיסכון קטן — רק בייעול משך הסיור (צ'ק-ליסט דיגיטלי בטלפון), לא בתדירות</t>
        </is>
      </c>
    </row>
    <row r="27" ht="60" customHeight="1">
      <c r="A27" s="4" t="n">
        <v>24</v>
      </c>
      <c r="B27" s="4" t="inlineStr">
        <is>
          <t>גילוי אש</t>
        </is>
      </c>
      <c r="C27" s="4" t="inlineStr">
        <is>
          <t>רכזת גילוי אש ועשן</t>
        </is>
      </c>
      <c r="D27" s="4" t="inlineStr">
        <is>
          <t>בדיקת רכזת גילוי אש ועשן</t>
        </is>
      </c>
      <c r="E27" s="4" t="inlineStr">
        <is>
          <t>חצי שנתי</t>
        </is>
      </c>
      <c r="F27" s="5" t="inlineStr">
        <is>
          <t>C — רגולציה/ביטוח/בטיחות (לא ניתן לביטול)</t>
        </is>
      </c>
      <c r="G27" s="6" t="n">
        <v>2</v>
      </c>
      <c r="H27" s="4" t="inlineStr">
        <is>
          <t>בדיקת כרטיסים/נוריות/לחצנים, מצברים, גלאים (החלפה יזומה לפי יצרן) ותפקוד בחירום — ע"י חברה מוסמכת</t>
        </is>
      </c>
      <c r="I27" s="4" t="inlineStr">
        <is>
          <t>תקן גילוי אש ועשן (מקביל ל-ת"י 1220 חלק גילוי) — מחייב בודק/חברה מוסמכת</t>
        </is>
      </c>
      <c r="J27" s="4" t="inlineStr">
        <is>
          <t>חלקי — סטטוס תקלות שוטף מדווח, אך הבדיקה התקופתית המלאה מחייבת גורם מוסמך</t>
        </is>
      </c>
      <c r="K27" s="4" t="inlineStr">
        <is>
          <t>לא רלוונטי כתחליף לבדיקה המוסמכת</t>
        </is>
      </c>
      <c r="L27" s="4" t="inlineStr">
        <is>
          <t>כן — בדיקה ע"י חברה מוסמכת מחייבת עפ"י תקן</t>
        </is>
      </c>
      <c r="M27" s="4" t="inlineStr">
        <is>
          <t>לא</t>
        </is>
      </c>
      <c r="N27" s="11" t="inlineStr">
        <is>
          <t>KEEP</t>
        </is>
      </c>
      <c r="O27" s="4" t="inlineStr">
        <is>
          <t>אסור — דרישת תקן מחייבת בדיקת גורם מוסמך</t>
        </is>
      </c>
      <c r="P27" s="4" t="inlineStr">
        <is>
          <t>לא רלוונטי — ראה KEEP</t>
        </is>
      </c>
      <c r="Q27" s="4" t="inlineStr">
        <is>
          <t>ליקוי שנמצא → תיקון ותיוק אישור בתיק בטיחות</t>
        </is>
      </c>
      <c r="R27" s="6" t="n">
        <v>90</v>
      </c>
      <c r="S27" s="8">
        <f>G27*R27/60</f>
        <v/>
      </c>
      <c r="T27" s="6" t="n">
        <v>2</v>
      </c>
      <c r="U27" s="6" t="n">
        <v>90</v>
      </c>
      <c r="V27" s="8">
        <f>T27*U27/60</f>
        <v/>
      </c>
      <c r="W27" s="8">
        <f>S27-V27</f>
        <v/>
      </c>
      <c r="X27" s="9">
        <f>IFERROR(W27/S27,0)</f>
        <v/>
      </c>
      <c r="Y27" s="4" t="inlineStr">
        <is>
          <t>זמן זה הוא בעיקר ליווי/תיאום מול החברה המוסמכת, לא ביצוע עצמי</t>
        </is>
      </c>
    </row>
    <row r="28" ht="60" customHeight="1">
      <c r="A28" s="4" t="n">
        <v>25</v>
      </c>
      <c r="B28" s="4" t="inlineStr">
        <is>
          <t>מעליות</t>
        </is>
      </c>
      <c r="C28" s="4" t="inlineStr">
        <is>
          <t>מעלית נוסעים</t>
        </is>
      </c>
      <c r="D28" s="4" t="inlineStr">
        <is>
          <t>בדיקת מעלית נוסעים (טיפול חודשי)</t>
        </is>
      </c>
      <c r="E28" s="4" t="inlineStr">
        <is>
          <t>חודשי</t>
        </is>
      </c>
      <c r="F28" s="5" t="inlineStr">
        <is>
          <t>C — רגולציה/ביטוח/בטיחות (לא ניתן לביטול)</t>
        </is>
      </c>
      <c r="G28" s="6" t="n">
        <v>12</v>
      </c>
      <c r="H28" s="4" t="inlineStr">
        <is>
          <t>בדיקה ויזואלית חדר מכונות, אינטרקום, תאורת חירום בתא, הזמנת חברת אחזקה מוסמכת וקבלת דו"ח טיפול</t>
        </is>
      </c>
      <c r="I28" s="4" t="inlineStr">
        <is>
          <t>חוק המעליות ותקנות הבטיחות בעבודה (מעליות) — טיפול חודשי מחייב ע"י מתקין/מוסך מוסמך</t>
        </is>
      </c>
      <c r="J28" s="4" t="inlineStr">
        <is>
          <t>חלקי — קודי תקלה ממערכת בקרת מעליות מדווחים לרוב, הטיפול הפיזי לא</t>
        </is>
      </c>
      <c r="K28" s="4" t="inlineStr">
        <is>
          <t>לא רלוונטי כתחליף לחובה החוקית</t>
        </is>
      </c>
      <c r="L28" s="4" t="inlineStr">
        <is>
          <t>כן — מחייב עפ"י דין (חברה מוסמכת + תיעוד דוח)</t>
        </is>
      </c>
      <c r="M28" s="4" t="inlineStr">
        <is>
          <t>לא (רק ניטור קודי תקלה כתמיכה בין ביקורים)</t>
        </is>
      </c>
      <c r="N28" s="11" t="inlineStr">
        <is>
          <t>KEEP</t>
        </is>
      </c>
      <c r="O28" s="4" t="inlineStr">
        <is>
          <t>אסור — טיפול חודשי מחייב עפ"י חוק המעליות</t>
        </is>
      </c>
      <c r="P28" s="4" t="inlineStr">
        <is>
          <t>לא רלוונטי — ראה KEEP</t>
        </is>
      </c>
      <c r="Q28" s="4" t="inlineStr">
        <is>
          <t>קוד תקלה בין ביקורים → קריאת שירות מיידית</t>
        </is>
      </c>
      <c r="R28" s="6" t="n">
        <v>20</v>
      </c>
      <c r="S28" s="8">
        <f>G28*R28/60</f>
        <v/>
      </c>
      <c r="T28" s="6" t="n">
        <v>12</v>
      </c>
      <c r="U28" s="6" t="n">
        <v>15</v>
      </c>
      <c r="V28" s="8">
        <f>T28*U28/60</f>
        <v/>
      </c>
      <c r="W28" s="8">
        <f>S28-V28</f>
        <v/>
      </c>
      <c r="X28" s="9">
        <f>IFERROR(W28/S28,0)</f>
        <v/>
      </c>
      <c r="Y28" s="4" t="inlineStr">
        <is>
          <t>חיסכון קטן — תיאום/תיוק דוחות בלבד; הביקור המוסמך עצמו לא ניתן לביטול</t>
        </is>
      </c>
    </row>
    <row r="29" ht="60" customHeight="1">
      <c r="A29" s="4" t="n">
        <v>26</v>
      </c>
      <c r="B29" s="4" t="inlineStr">
        <is>
          <t>אחזקה כללית</t>
        </is>
      </c>
      <c r="C29" s="4" t="inlineStr">
        <is>
          <t>גופי תאורת חירום</t>
        </is>
      </c>
      <c r="D29" s="4" t="inlineStr">
        <is>
          <t>בדיקת תאורת חירום</t>
        </is>
      </c>
      <c r="E29" s="4" t="inlineStr">
        <is>
          <t>חצי שנתי</t>
        </is>
      </c>
      <c r="F29" s="5" t="inlineStr">
        <is>
          <t>C — רגולציה/ביטוח/בטיחות (לא ניתן לביטול)</t>
        </is>
      </c>
      <c r="G29" s="6" t="n">
        <v>2</v>
      </c>
      <c r="H29" s="4" t="inlineStr">
        <is>
          <t>ניתוק הזנה, פריקה מלאה 30 דק', בדיקת פעולה תקינה 20 דק' והחלפת סוללה/גוף בעת הצורך</t>
        </is>
      </c>
      <c r="I29" s="4" t="inlineStr">
        <is>
          <t>ת"י 1220 חלק תאורת חירום / דרישות רשות כבאות והצלה</t>
        </is>
      </c>
      <c r="J29" s="4" t="inlineStr">
        <is>
          <t>לא — בדיקת פריקה בפועל היא בדיקה פיזית בהגדרה (אין תחליף מרחוק לבדיקת התרוקנות סוללה בפועל בגוף פשוט)</t>
        </is>
      </c>
      <c r="K29" s="4" t="inlineStr">
        <is>
          <t>חלקי — גופי תאורת חירום 'חכמים' עם דיווח עצמי קיימים בשוק ומייתרים חלק מהבדיקה הידנית</t>
        </is>
      </c>
      <c r="L29" s="4" t="inlineStr">
        <is>
          <t>כן</t>
        </is>
      </c>
      <c r="M29" s="4" t="inlineStr">
        <is>
          <t>חלקי — רק אם משדרגים לגופים חכמים</t>
        </is>
      </c>
      <c r="N29" s="11" t="inlineStr">
        <is>
          <t>KEEP (עם שדרוג הדרגתי לגופים חכמים כמסלול עתידי)</t>
        </is>
      </c>
      <c r="O29" s="4" t="inlineStr">
        <is>
          <t>אסור כברירת מחדל — אלא אם כל הגופים משודרגים לתאורת חירום עם דיווח עצמי (self-test)</t>
        </is>
      </c>
      <c r="P29" s="4" t="inlineStr">
        <is>
          <t>לא רלוונטי — ראה KEEP</t>
        </is>
      </c>
      <c r="Q29" s="4" t="inlineStr">
        <is>
          <t>גוף לא עומד ב-20 דק' פעולה → החלפת סוללה/גוף</t>
        </is>
      </c>
      <c r="R29" s="6" t="n">
        <v>120</v>
      </c>
      <c r="S29" s="8">
        <f>G29*R29/60</f>
        <v/>
      </c>
      <c r="T29" s="6" t="n">
        <v>2</v>
      </c>
      <c r="U29" s="6" t="n">
        <v>120</v>
      </c>
      <c r="V29" s="8">
        <f>T29*U29/60</f>
        <v/>
      </c>
      <c r="W29" s="8">
        <f>S29-V29</f>
        <v/>
      </c>
      <c r="X29" s="9">
        <f>IFERROR(W29/S29,0)</f>
        <v/>
      </c>
      <c r="Y29" s="4" t="inlineStr">
        <is>
          <t>הזדמנות השקעה: מעבר לגופי self-test חכמים יכול להעביר שורה זו לקטגוריית SKIP בעתיד</t>
        </is>
      </c>
    </row>
    <row r="30" ht="60" customHeight="1">
      <c r="A30" s="4" t="n">
        <v>27</v>
      </c>
      <c r="B30" s="4" t="inlineStr">
        <is>
          <t>אחזקה כללית</t>
        </is>
      </c>
      <c r="C30" s="4" t="inlineStr">
        <is>
          <t>דחסנית אשפה</t>
        </is>
      </c>
      <c r="D30" s="4" t="inlineStr">
        <is>
          <t>בדיקת דחסנית אשפה</t>
        </is>
      </c>
      <c r="E30" s="4" t="inlineStr">
        <is>
          <t>שבועי</t>
        </is>
      </c>
      <c r="F30" s="5" t="inlineStr">
        <is>
          <t>D — מבוסס תפוסה/ביקוש (Demand-Based)</t>
        </is>
      </c>
      <c r="G30" s="6" t="n">
        <v>52</v>
      </c>
      <c r="H30" s="4" t="inlineStr">
        <is>
          <t>גירוז, שימון, חיזוק ברגים, ניקוי, בדיקת נזילות/רעשים ובדיקת קיבולת המכל</t>
        </is>
      </c>
      <c r="I30" s="4" t="inlineStr">
        <is>
          <t>הוראות יצרן / נוהל פנימי</t>
        </is>
      </c>
      <c r="J30" s="4" t="inlineStr">
        <is>
          <t>לא — אך ניתן לצייד בחיישן מפלס מילוי</t>
        </is>
      </c>
      <c r="K30" s="4" t="inlineStr">
        <is>
          <t>כן — חיישן מפלס מילוי (Fill-level) בדחסנית</t>
        </is>
      </c>
      <c r="L30" s="4" t="inlineStr">
        <is>
          <t>לא</t>
        </is>
      </c>
      <c r="M30" s="4" t="inlineStr">
        <is>
          <t>כן — למעבר לתחזוקה מבוססת מילוי בפועל, לא לוח זמנים קבוע</t>
        </is>
      </c>
      <c r="N30" s="12" t="inlineStr">
        <is>
          <t>ACT (מבוסס תפוסה, לא לוח זמנים)</t>
        </is>
      </c>
      <c r="O30" s="4" t="inlineStr">
        <is>
          <t>מפלס המילוי מתחת לסף ואין התרעת נזילה/רעש</t>
        </is>
      </c>
      <c r="P30" s="4" t="inlineStr">
        <is>
          <t>ביקור פיזי חודשי קבוע (גירוז/שימון מונע) גם ללא התרעה</t>
        </is>
      </c>
      <c r="Q30" s="4" t="inlineStr">
        <is>
          <t>מפלס המילוי מעל סף / התרעת רעש-נזילה — פינוי/טיפול מיידי</t>
        </is>
      </c>
      <c r="R30" s="6" t="n">
        <v>25</v>
      </c>
      <c r="S30" s="8">
        <f>G30*R30/60</f>
        <v/>
      </c>
      <c r="T30" s="6" t="n">
        <v>12</v>
      </c>
      <c r="U30" s="6" t="n">
        <v>25</v>
      </c>
      <c r="V30" s="8">
        <f>T30*U30/60</f>
        <v/>
      </c>
      <c r="W30" s="8">
        <f>S30-V30</f>
        <v/>
      </c>
      <c r="X30" s="9">
        <f>IFERROR(W30/S30,0)</f>
        <v/>
      </c>
      <c r="Y30" s="4" t="inlineStr">
        <is>
          <t>גם תדירות הפינוי עצמו יכולה לרדת ממדיניות קבועה למדיניות מבוססת-מילוי</t>
        </is>
      </c>
    </row>
    <row r="31" ht="60" customHeight="1">
      <c r="A31" s="4" t="n">
        <v>28</v>
      </c>
      <c r="B31" s="4" t="inlineStr">
        <is>
          <t>אחזקה כללית</t>
        </is>
      </c>
      <c r="C31" s="4" t="inlineStr">
        <is>
          <t>דוחס קרטונים</t>
        </is>
      </c>
      <c r="D31" s="4" t="inlineStr">
        <is>
          <t>בדיקת דוחס קרטונים</t>
        </is>
      </c>
      <c r="E31" s="4" t="inlineStr">
        <is>
          <t>שבועי</t>
        </is>
      </c>
      <c r="F31" s="5" t="inlineStr">
        <is>
          <t>D — מבוסס תפוסה/ביקוש (Demand-Based)</t>
        </is>
      </c>
      <c r="G31" s="6" t="n">
        <v>52</v>
      </c>
      <c r="H31" s="4" t="inlineStr">
        <is>
          <t>בדיקה ויזואלית, תקינות עצירת חירום, מנעולי בטיחות ותקינות מנגנון הפליטה</t>
        </is>
      </c>
      <c r="I31" s="4" t="inlineStr">
        <is>
          <t>הוראות יצרן / בטיחות מכונות</t>
        </is>
      </c>
      <c r="J31" s="4" t="inlineStr">
        <is>
          <t>לא — אך ניתן לצייד בחיישן מילוי + ניטור מרחוק של עצירת החירום</t>
        </is>
      </c>
      <c r="K31" s="4" t="inlineStr">
        <is>
          <t>כן — חיישן מילוי + ניטור סטטוס עצירת חירום</t>
        </is>
      </c>
      <c r="L31" s="4" t="inlineStr">
        <is>
          <t>לא (למעט מרכיב הבטיחות — עצירת חירום נבדקת בתדירות קבועה)</t>
        </is>
      </c>
      <c r="M31" s="4" t="inlineStr">
        <is>
          <t>כן — ברובו למעט בדיקת בטיחות תקופתית</t>
        </is>
      </c>
      <c r="N31" s="10" t="inlineStr">
        <is>
          <t>INSPECT (מדורג, מבוסס תפוסה)</t>
        </is>
      </c>
      <c r="O31" s="4" t="inlineStr">
        <is>
          <t>אין התרעת מילוי/תקלה</t>
        </is>
      </c>
      <c r="P31" s="4" t="inlineStr">
        <is>
          <t>ברירת מחדל: ביקור חודשי (כולל בדיקת בטיחות עצירת חירום) + לפי התרעת מילוי</t>
        </is>
      </c>
      <c r="Q31" s="4" t="inlineStr">
        <is>
          <t>התרעת מילוי מלא / כשל בבדיקת בטיחות</t>
        </is>
      </c>
      <c r="R31" s="6" t="n">
        <v>15</v>
      </c>
      <c r="S31" s="8">
        <f>G31*R31/60</f>
        <v/>
      </c>
      <c r="T31" s="6" t="n">
        <v>12</v>
      </c>
      <c r="U31" s="6" t="n">
        <v>15</v>
      </c>
      <c r="V31" s="8">
        <f>T31*U31/60</f>
        <v/>
      </c>
      <c r="W31" s="8">
        <f>S31-V31</f>
        <v/>
      </c>
      <c r="X31" s="9">
        <f>IFERROR(W31/S31,0)</f>
        <v/>
      </c>
      <c r="Y31" s="4" t="inlineStr">
        <is>
          <t>בדיקת עצירת החירום עצמה לא מבוטלת — נשמרת כבדיקת בטיחות תקופתית קבועה</t>
        </is>
      </c>
    </row>
    <row r="32" ht="60" customHeight="1">
      <c r="A32" s="4" t="n">
        <v>29</v>
      </c>
      <c r="B32" s="4" t="inlineStr">
        <is>
          <t>אחזקה כללית</t>
        </is>
      </c>
      <c r="C32" s="4" t="inlineStr">
        <is>
          <t>פיר אשפה</t>
        </is>
      </c>
      <c r="D32" s="4" t="inlineStr">
        <is>
          <t>בדיקת פיר אשפה</t>
        </is>
      </c>
      <c r="E32" s="4" t="inlineStr">
        <is>
          <t>שבועי</t>
        </is>
      </c>
      <c r="F32" s="5" t="inlineStr">
        <is>
          <t>B — נדרש חיישן IoT נוסף</t>
        </is>
      </c>
      <c r="G32" s="6" t="n">
        <v>52</v>
      </c>
      <c r="H32" s="4" t="inlineStr">
        <is>
          <t>בדיקת ניקיון פיר האשפה</t>
        </is>
      </c>
      <c r="I32" s="4" t="inlineStr">
        <is>
          <t>נוהל פנימי / תברואה</t>
        </is>
      </c>
      <c r="J32" s="4" t="inlineStr">
        <is>
          <t>לא — אך ניתן לצייד בחיישן ריח/מילוי</t>
        </is>
      </c>
      <c r="K32" s="4" t="inlineStr">
        <is>
          <t>כן — חיישן ריח/מילוי בתא האיסוף</t>
        </is>
      </c>
      <c r="L32" s="4" t="inlineStr">
        <is>
          <t>לא</t>
        </is>
      </c>
      <c r="M32" s="4" t="inlineStr">
        <is>
          <t>כן — מלא</t>
        </is>
      </c>
      <c r="N32" s="12" t="inlineStr">
        <is>
          <t>ACT (מבוסס חיישן ריח/מילוי)</t>
        </is>
      </c>
      <c r="O32" s="4" t="inlineStr">
        <is>
          <t>אין התרעת ריח/מילוי</t>
        </is>
      </c>
      <c r="P32" s="4" t="inlineStr">
        <is>
          <t>ביקור פיזי חודשי כבסיס</t>
        </is>
      </c>
      <c r="Q32" s="4" t="inlineStr">
        <is>
          <t>התרעת ריח חריג / מילוי מלא — ניקוי מיידי</t>
        </is>
      </c>
      <c r="R32" s="6" t="n">
        <v>5</v>
      </c>
      <c r="S32" s="8">
        <f>G32*R32/60</f>
        <v/>
      </c>
      <c r="T32" s="6" t="n">
        <v>12</v>
      </c>
      <c r="U32" s="6" t="n">
        <v>5</v>
      </c>
      <c r="V32" s="8">
        <f>T32*U32/60</f>
        <v/>
      </c>
      <c r="W32" s="8">
        <f>S32-V32</f>
        <v/>
      </c>
      <c r="X32" s="9">
        <f>IFERROR(W32/S32,0)</f>
        <v/>
      </c>
      <c r="Y32" s="4" t="inlineStr"/>
    </row>
    <row r="33" ht="60" customHeight="1">
      <c r="A33" s="4" t="n">
        <v>30</v>
      </c>
      <c r="B33" s="4" t="inlineStr">
        <is>
          <t>אחזקה כללית</t>
        </is>
      </c>
      <c r="C33" s="4" t="inlineStr">
        <is>
          <t>קומות משרדים / שטחים ציבוריים</t>
        </is>
      </c>
      <c r="D33" s="4" t="inlineStr">
        <is>
          <t>סיור יומי (ניקיון ותחזוקה כללית)</t>
        </is>
      </c>
      <c r="E33" s="4" t="inlineStr">
        <is>
          <t>יומי</t>
        </is>
      </c>
      <c r="F33" s="5" t="inlineStr">
        <is>
          <t>D — מבוסס תפוסה/ביקוש (Demand-Based)</t>
        </is>
      </c>
      <c r="G33" s="6" t="n">
        <v>365</v>
      </c>
      <c r="H33" s="4" t="inlineStr">
        <is>
          <t>ניקיון כללי, ריקון פחים, תקינות תאורה/דלתות ותקינות מפיצי ריח</t>
        </is>
      </c>
      <c r="I33" s="4" t="inlineStr">
        <is>
          <t>נוהל פנימי / רמת שירות (SLA) לדיירים</t>
        </is>
      </c>
      <c r="J33" s="4" t="inlineStr">
        <is>
          <t>לא — אך תפוסה בפועל ניתנת למדידה (בקרת כניסה/מצלמות/חיישני נוכחות)</t>
        </is>
      </c>
      <c r="K33" s="4" t="inlineStr">
        <is>
          <t>כן — חיישני תפוסה/ספירת מבקרים לכל קומה, מונים חכמים על פחי אשפה</t>
        </is>
      </c>
      <c r="L33" s="4" t="inlineStr">
        <is>
          <t>לא</t>
        </is>
      </c>
      <c r="M33" s="4" t="inlineStr">
        <is>
          <t>כן — מעבר למודל Demand-Based Cleaning</t>
        </is>
      </c>
      <c r="N33" s="12" t="inlineStr">
        <is>
          <t>ACT (מבוסס תפוסה בפועל, לא סבב קבוע לכל הקומות)</t>
        </is>
      </c>
      <c r="O33" s="4" t="inlineStr">
        <is>
          <t>קומה עם תפוסה נמוכה ופחים לא מלאים מאז הסבב הקודם</t>
        </is>
      </c>
      <c r="P33" s="4" t="inlineStr">
        <is>
          <t>ביקור מהיר לקומות בתפוסה בינונית</t>
        </is>
      </c>
      <c r="Q33" s="4" t="inlineStr">
        <is>
          <t>תפוסה גבוהה / פח מלא / התרעת ריח — ניקיון מיידי באותה קומה</t>
        </is>
      </c>
      <c r="R33" s="6" t="n">
        <v>30</v>
      </c>
      <c r="S33" s="8">
        <f>G33*R33/60</f>
        <v/>
      </c>
      <c r="T33" s="6" t="n">
        <v>200</v>
      </c>
      <c r="U33" s="6" t="n">
        <v>25</v>
      </c>
      <c r="V33" s="8">
        <f>T33*U33/60</f>
        <v/>
      </c>
      <c r="W33" s="8">
        <f>S33-V33</f>
        <v/>
      </c>
      <c r="X33" s="9">
        <f>IFERROR(W33/S33,0)</f>
        <v/>
      </c>
      <c r="Y33" s="4" t="inlineStr">
        <is>
          <t>הליבה של 'Demand-Based Cleaning' מהמסמך — הפחתה משוערת ~30-40% בסבבים כוללת, לא ביטול מוחלט</t>
        </is>
      </c>
    </row>
    <row r="34" ht="60" customHeight="1">
      <c r="A34" s="4" t="n">
        <v>31</v>
      </c>
      <c r="B34" s="4" t="inlineStr">
        <is>
          <t>אחזקה כללית</t>
        </is>
      </c>
      <c r="C34" s="4" t="inlineStr">
        <is>
          <t>חניון</t>
        </is>
      </c>
      <c r="D34" s="4" t="inlineStr">
        <is>
          <t>סיור יומי - חניון</t>
        </is>
      </c>
      <c r="E34" s="4" t="inlineStr">
        <is>
          <t>יומי</t>
        </is>
      </c>
      <c r="F34" s="5" t="inlineStr">
        <is>
          <t>B — נדרש חיישן IoT נוסף</t>
        </is>
      </c>
      <c r="G34" s="6" t="n">
        <v>365</v>
      </c>
      <c r="H34" s="4" t="inlineStr">
        <is>
          <t>בדיקה ויזואלית, נעילת דלתות, תאורה, נזילות וניקיון</t>
        </is>
      </c>
      <c r="I34" s="4" t="inlineStr">
        <is>
          <t>נוהל פנימי</t>
        </is>
      </c>
      <c r="J34" s="4" t="inlineStr">
        <is>
          <t>חלקי — תאורה/CO ניתנים לניטור ברוב החניונים המודרניים, נזילות/נעילה לא</t>
        </is>
      </c>
      <c r="K34" s="4" t="inlineStr">
        <is>
          <t>כן — חיישן נעילה/גישה + ניצול חיישני CO הקיימים לניטור איכות אוויר</t>
        </is>
      </c>
      <c r="L34" s="4" t="inlineStr">
        <is>
          <t>לא</t>
        </is>
      </c>
      <c r="M34" s="4" t="inlineStr">
        <is>
          <t>כן — ברובו</t>
        </is>
      </c>
      <c r="N34" s="7" t="inlineStr">
        <is>
          <t>SKIP/INSPECT</t>
        </is>
      </c>
      <c r="O34" s="4" t="inlineStr">
        <is>
          <t>דלתות נעולות (חיישן), תאורה תקינה, אין התרעת CO</t>
        </is>
      </c>
      <c r="P34" s="4" t="inlineStr">
        <is>
          <t>ביקור פיזי שבועי + מיידי בהתרעה</t>
        </is>
      </c>
      <c r="Q34" s="4" t="inlineStr">
        <is>
          <t>דלת פרוצה / התרעת CO / נזילה מדווחת</t>
        </is>
      </c>
      <c r="R34" s="6" t="n">
        <v>15</v>
      </c>
      <c r="S34" s="8">
        <f>G34*R34/60</f>
        <v/>
      </c>
      <c r="T34" s="6" t="n">
        <v>52</v>
      </c>
      <c r="U34" s="6" t="n">
        <v>15</v>
      </c>
      <c r="V34" s="8">
        <f>T34*U34/60</f>
        <v/>
      </c>
      <c r="W34" s="8">
        <f>S34-V34</f>
        <v/>
      </c>
      <c r="X34" s="9">
        <f>IFERROR(W34/S34,0)</f>
        <v/>
      </c>
      <c r="Y34" s="4" t="inlineStr"/>
    </row>
    <row r="35" ht="60" customHeight="1">
      <c r="A35" s="4" t="n">
        <v>32</v>
      </c>
      <c r="B35" s="4" t="inlineStr">
        <is>
          <t>מפוחים</t>
        </is>
      </c>
      <c r="C35" s="4" t="inlineStr">
        <is>
          <t>לוח מפוחי חניון</t>
        </is>
      </c>
      <c r="D35" s="4" t="inlineStr">
        <is>
          <t>בדיקת לוח מפוחי חניון</t>
        </is>
      </c>
      <c r="E35" s="4" t="inlineStr">
        <is>
          <t>יומי</t>
        </is>
      </c>
      <c r="F35" s="5" t="inlineStr">
        <is>
          <t>A — נתון קיים בבקר (אוטומציה מיידית)</t>
        </is>
      </c>
      <c r="G35" s="6" t="n">
        <v>365</v>
      </c>
      <c r="H35" s="4" t="inlineStr">
        <is>
          <t>רעשים חריגים, ניקיון ובדיקה ויזואלית של נורת תקלה</t>
        </is>
      </c>
      <c r="I35" s="4" t="inlineStr">
        <is>
          <t>נוהל פנימי — המפוחים עצמם כבר מופעלים אוטומטית ע"י חיישני CO</t>
        </is>
      </c>
      <c r="J35" s="4" t="inlineStr">
        <is>
          <t>כן — נורת תקלה/סטטוס מפוח כבר מדווחת ללוח ולעיתים למרכזת</t>
        </is>
      </c>
      <c r="K35" s="4" t="inlineStr">
        <is>
          <t>לא נדרש (קיים — מפוחי חניון כבר מבוססי חיישני CO)</t>
        </is>
      </c>
      <c r="L35" s="4" t="inlineStr">
        <is>
          <t>לא</t>
        </is>
      </c>
      <c r="M35" s="4" t="inlineStr">
        <is>
          <t>כן — מלא</t>
        </is>
      </c>
      <c r="N35" s="7" t="inlineStr">
        <is>
          <t>SKIP (ברירת מחדל דיגיטלית)</t>
        </is>
      </c>
      <c r="O35" s="4" t="inlineStr">
        <is>
          <t>אין נורת תקלה / התרעה מהלוח</t>
        </is>
      </c>
      <c r="P35" s="4" t="inlineStr">
        <is>
          <t>ביקור פיזי חודשי</t>
        </is>
      </c>
      <c r="Q35" s="4" t="inlineStr">
        <is>
          <t>נורת תקלה דולקת / אזעקת CO ללא הפעלת מפוח</t>
        </is>
      </c>
      <c r="R35" s="6" t="n">
        <v>5</v>
      </c>
      <c r="S35" s="8">
        <f>G35*R35/60</f>
        <v/>
      </c>
      <c r="T35" s="6" t="n">
        <v>12</v>
      </c>
      <c r="U35" s="6" t="n">
        <v>5</v>
      </c>
      <c r="V35" s="8">
        <f>T35*U35/60</f>
        <v/>
      </c>
      <c r="W35" s="8">
        <f>S35-V35</f>
        <v/>
      </c>
      <c r="X35" s="9">
        <f>IFERROR(W35/S35,0)</f>
        <v/>
      </c>
      <c r="Y35" s="4" t="inlineStr">
        <is>
          <t>דוגמה טובה: המערכת כבר Condition-Based מטבעה (CO-driven) — הבדיקה היומית של הלוח היא זו שמיותרת</t>
        </is>
      </c>
    </row>
    <row r="36" ht="60" customHeight="1">
      <c r="A36" s="4" t="n">
        <v>33</v>
      </c>
      <c r="B36" s="4" t="inlineStr">
        <is>
          <t>ביטחון</t>
        </is>
      </c>
      <c r="C36" s="4" t="inlineStr">
        <is>
          <t>סיורי שטח</t>
        </is>
      </c>
      <c r="D36" s="4" t="inlineStr">
        <is>
          <t>סיור ביטחון</t>
        </is>
      </c>
      <c r="E36" s="4" t="inlineStr">
        <is>
          <t>יומי</t>
        </is>
      </c>
      <c r="F36" s="5" t="inlineStr">
        <is>
          <t>B — נדרש חיישן IoT נוסף</t>
        </is>
      </c>
      <c r="G36" s="6" t="n">
        <v>365</v>
      </c>
      <c r="H36" s="4" t="inlineStr">
        <is>
          <t>סיור ברחבי המבנה ואיתור חריגים/חפצים חשודים</t>
        </is>
      </c>
      <c r="I36" s="4" t="inlineStr">
        <is>
          <t>נוהל אבטחה של המבנה + דרישות ביטוח/רישיון עסק (בהתאם לסיווג האתר)</t>
        </is>
      </c>
      <c r="J36" s="4" t="inlineStr">
        <is>
          <t>חלקי — כיסוי מצלמות/Video Analytics קיים באזורים מסוימים בלבד</t>
        </is>
      </c>
      <c r="K36" s="4" t="inlineStr">
        <is>
          <t>כן — Video Analytics + בקרת כניסה בנקודות מפתח (לא מחליף כיסוי מלא)</t>
        </is>
      </c>
      <c r="L36" s="4" t="inlineStr">
        <is>
          <t>תלוי — ייתכן ומחייב עפ"י נוהל ביטחון/ביטוח ספציפי לאתר</t>
        </is>
      </c>
      <c r="M36" s="4" t="inlineStr">
        <is>
          <t>חלקי — בזהירות רבה</t>
        </is>
      </c>
      <c r="N36" s="10" t="inlineStr">
        <is>
          <t>INSPECT (מדורג, בכפוף לאישור מפורש)</t>
        </is>
      </c>
      <c r="O36" s="4" t="inlineStr">
        <is>
          <t>אסור להחיל ללא אישור מפורש של גורם הביטחון/הביטוח של המבנה</t>
        </is>
      </c>
      <c r="P36" s="4" t="inlineStr">
        <is>
          <t>באזורים מכוסי מצלמות/Video Analytics מלא: תדירות מופחתת; באזורים לא מכוסים: ללא שינוי</t>
        </is>
      </c>
      <c r="Q36" s="4" t="inlineStr">
        <is>
          <t>התרעת Video Analytics (חפץ חשוד/פריצה) → סיור מיידי לאזור הספציפי</t>
        </is>
      </c>
      <c r="R36" s="6" t="n">
        <v>15</v>
      </c>
      <c r="S36" s="8">
        <f>G36*R36/60</f>
        <v/>
      </c>
      <c r="T36" s="6" t="n">
        <v>200</v>
      </c>
      <c r="U36" s="6" t="n">
        <v>15</v>
      </c>
      <c r="V36" s="8">
        <f>T36*U36/60</f>
        <v/>
      </c>
      <c r="W36" s="8">
        <f>S36-V36</f>
        <v/>
      </c>
      <c r="X36" s="9">
        <f>IFERROR(W36/S36,0)</f>
        <v/>
      </c>
      <c r="Y36" s="4" t="inlineStr">
        <is>
          <t>בהתאם למסמך החזון — תחום רגיש; כל צמצום מותנה מראש באישור דרישות ביטחון/ביטוח/נהלים, לא רק ביכולת הטכנולוגית</t>
        </is>
      </c>
    </row>
    <row r="37" ht="60" customHeight="1">
      <c r="A37" s="4" t="n">
        <v>34</v>
      </c>
      <c r="B37" s="4" t="inlineStr">
        <is>
          <t>מעליות</t>
        </is>
      </c>
      <c r="C37" s="4" t="inlineStr">
        <is>
          <t>חדר מעליות חניון</t>
        </is>
      </c>
      <c r="D37" s="4" t="inlineStr">
        <is>
          <t>בדיקת חדר מעליות חניון</t>
        </is>
      </c>
      <c r="E37" s="4" t="inlineStr">
        <is>
          <t>יומי</t>
        </is>
      </c>
      <c r="F37" s="5" t="inlineStr">
        <is>
          <t>B — נדרש חיישן IoT נוסף</t>
        </is>
      </c>
      <c r="G37" s="6" t="n">
        <v>365</v>
      </c>
      <c r="H37" s="4" t="inlineStr">
        <is>
          <t>תאורה, ניקיון, נזילות שמן, פעולת מזגן חדר ורעשים מלוחות חשמל</t>
        </is>
      </c>
      <c r="I37" s="4" t="inlineStr">
        <is>
          <t>נוהל פנימי (מעבר לחובת הטיפול החודשי המוסמך שנשמרת בנפרד)</t>
        </is>
      </c>
      <c r="J37" s="4" t="inlineStr">
        <is>
          <t>חלקי — קודי תקלה ממערכת בקרת המעלית מדווחים, נזילת שמן/ניקיון לא</t>
        </is>
      </c>
      <c r="K37" s="4" t="inlineStr">
        <is>
          <t>כן — חיישן נזילת שמן + ניטור טמפ' חדר</t>
        </is>
      </c>
      <c r="L37" s="4" t="inlineStr">
        <is>
          <t>לא (הביקור היומי הפנימי; להבדיל מהטיפול החודשי המוסמך שנותר KEEP)</t>
        </is>
      </c>
      <c r="M37" s="4" t="inlineStr">
        <is>
          <t>כן — ברובו</t>
        </is>
      </c>
      <c r="N37" s="7" t="inlineStr">
        <is>
          <t>SKIP/INSPECT</t>
        </is>
      </c>
      <c r="O37" s="4" t="inlineStr">
        <is>
          <t>אין קוד תקלה, אין התרעת נזילה/טמפ'</t>
        </is>
      </c>
      <c r="P37" s="4" t="inlineStr">
        <is>
          <t>ביקור פיזי שבועי + מיידי בהתרעה</t>
        </is>
      </c>
      <c r="Q37" s="4" t="inlineStr">
        <is>
          <t>קוד תקלה / נזילת שמן / חריגת טמפ'</t>
        </is>
      </c>
      <c r="R37" s="6" t="n">
        <v>8</v>
      </c>
      <c r="S37" s="8">
        <f>G37*R37/60</f>
        <v/>
      </c>
      <c r="T37" s="6" t="n">
        <v>52</v>
      </c>
      <c r="U37" s="6" t="n">
        <v>8</v>
      </c>
      <c r="V37" s="8">
        <f>T37*U37/60</f>
        <v/>
      </c>
      <c r="W37" s="8">
        <f>S37-V37</f>
        <v/>
      </c>
      <c r="X37" s="9">
        <f>IFERROR(W37/S37,0)</f>
        <v/>
      </c>
      <c r="Y37" s="4" t="inlineStr"/>
    </row>
    <row r="38" ht="60" customHeight="1">
      <c r="A38" s="4" t="n">
        <v>35</v>
      </c>
      <c r="B38" s="4" t="inlineStr">
        <is>
          <t>מעליות</t>
        </is>
      </c>
      <c r="C38" s="4" t="inlineStr">
        <is>
          <t>חדר מעליות נוסעים</t>
        </is>
      </c>
      <c r="D38" s="4" t="inlineStr">
        <is>
          <t>בדיקת חדר מעליות נוסעים</t>
        </is>
      </c>
      <c r="E38" s="4" t="inlineStr">
        <is>
          <t>יומי</t>
        </is>
      </c>
      <c r="F38" s="5" t="inlineStr">
        <is>
          <t>A — נתון קיים בבקר (אוטומציה מיידית)</t>
        </is>
      </c>
      <c r="G38" s="6" t="n">
        <v>365</v>
      </c>
      <c r="H38" s="4" t="inlineStr">
        <is>
          <t>ניקיון, תאורה ורעשים חריגים</t>
        </is>
      </c>
      <c r="I38" s="4" t="inlineStr">
        <is>
          <t>נוהל פנימי</t>
        </is>
      </c>
      <c r="J38" s="4" t="inlineStr">
        <is>
          <t>חלקי — קודי תקלה ממערכת בקרת המעלית מדווחים</t>
        </is>
      </c>
      <c r="K38" s="4" t="inlineStr">
        <is>
          <t>לא נדרש נוסף (קיים)</t>
        </is>
      </c>
      <c r="L38" s="4" t="inlineStr">
        <is>
          <t>לא</t>
        </is>
      </c>
      <c r="M38" s="4" t="inlineStr">
        <is>
          <t>כן — ברובו</t>
        </is>
      </c>
      <c r="N38" s="7" t="inlineStr">
        <is>
          <t>SKIP/INSPECT</t>
        </is>
      </c>
      <c r="O38" s="4" t="inlineStr">
        <is>
          <t>אין קוד תקלה מהמעלית</t>
        </is>
      </c>
      <c r="P38" s="4" t="inlineStr">
        <is>
          <t>ביקור פיזי שבועי + מיידי בהתרעה</t>
        </is>
      </c>
      <c r="Q38" s="4" t="inlineStr">
        <is>
          <t>קוד תקלה מדווח</t>
        </is>
      </c>
      <c r="R38" s="6" t="n">
        <v>6</v>
      </c>
      <c r="S38" s="8">
        <f>G38*R38/60</f>
        <v/>
      </c>
      <c r="T38" s="6" t="n">
        <v>52</v>
      </c>
      <c r="U38" s="6" t="n">
        <v>6</v>
      </c>
      <c r="V38" s="8">
        <f>T38*U38/60</f>
        <v/>
      </c>
      <c r="W38" s="8">
        <f>S38-V38</f>
        <v/>
      </c>
      <c r="X38" s="9">
        <f>IFERROR(W38/S38,0)</f>
        <v/>
      </c>
      <c r="Y38" s="4" t="inlineStr"/>
    </row>
    <row r="39" ht="60" customHeight="1">
      <c r="A39" s="4" t="n">
        <v>36</v>
      </c>
      <c r="B39" s="4" t="inlineStr">
        <is>
          <t>אחזקה כללית</t>
        </is>
      </c>
      <c r="C39" s="4" t="inlineStr">
        <is>
          <t>לוח בקרת מבנה (BMS)</t>
        </is>
      </c>
      <c r="D39" s="4" t="inlineStr">
        <is>
          <t>בדיקת לוח בקרת מבנה</t>
        </is>
      </c>
      <c r="E39" s="4" t="inlineStr">
        <is>
          <t>חודשית</t>
        </is>
      </c>
      <c r="F39" s="5" t="inlineStr">
        <is>
          <t>A — נתון קיים בבקר (אוטומציה מיידית)</t>
        </is>
      </c>
      <c r="G39" s="6" t="n">
        <v>12</v>
      </c>
      <c r="H39" s="4" t="inlineStr">
        <is>
          <t>ניקיון ושלמות שילוט, קיום דף הוראות, חיזוק מכני ופעולת נורות/מפסקים/לחצנים</t>
        </is>
      </c>
      <c r="I39" s="4" t="inlineStr">
        <is>
          <t>נוהל פנימי / הוראות יצרן</t>
        </is>
      </c>
      <c r="J39" s="4" t="inlineStr">
        <is>
          <t>כן — זהו הלוח עצמו; רוב הפרמטרים התפעוליים כבר מוצגים בו</t>
        </is>
      </c>
      <c r="K39" s="4" t="inlineStr">
        <is>
          <t>לא נדרש</t>
        </is>
      </c>
      <c r="L39" s="4" t="inlineStr">
        <is>
          <t>לא</t>
        </is>
      </c>
      <c r="M39" s="4" t="inlineStr">
        <is>
          <t>חלקי — הבדיקה הפיזית (שילוט/ניקיון/חיזוק) עדיין נדרשת אך בתדירות נמוכה יותר</t>
        </is>
      </c>
      <c r="N39" s="10" t="inlineStr">
        <is>
          <t>INSPECT (מדורג)</t>
        </is>
      </c>
      <c r="O39" s="4" t="inlineStr">
        <is>
          <t>אין תקלת חומרה/תצוגה מדווחת</t>
        </is>
      </c>
      <c r="P39" s="4" t="inlineStr">
        <is>
          <t>ביקור פיזי רבעוני (במקום חודשי) + מיידי בתקלה מדווחת</t>
        </is>
      </c>
      <c r="Q39" s="4" t="inlineStr">
        <is>
          <t>נורית/מסך לא תקינים או תקלת חומרה</t>
        </is>
      </c>
      <c r="R39" s="6" t="n">
        <v>15</v>
      </c>
      <c r="S39" s="8">
        <f>G39*R39/60</f>
        <v/>
      </c>
      <c r="T39" s="6" t="n">
        <v>4</v>
      </c>
      <c r="U39" s="6" t="n">
        <v>15</v>
      </c>
      <c r="V39" s="8">
        <f>T39*U39/60</f>
        <v/>
      </c>
      <c r="W39" s="8">
        <f>S39-V39</f>
        <v/>
      </c>
      <c r="X39" s="9">
        <f>IFERROR(W39/S39,0)</f>
        <v/>
      </c>
      <c r="Y39" s="4" t="inlineStr"/>
    </row>
    <row r="40">
      <c r="A40" s="13" t="inlineStr">
        <is>
          <t>סה"כ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5">
        <f>SUM(S4:S39)</f>
        <v/>
      </c>
      <c r="T40" s="14" t="n"/>
      <c r="U40" s="14" t="n"/>
      <c r="V40" s="15">
        <f>SUM(V4:V39)</f>
        <v/>
      </c>
      <c r="W40" s="15">
        <f>SUM(W4:W39)</f>
        <v/>
      </c>
      <c r="X40" s="16">
        <f>IFERROR(W40/S40,0)</f>
        <v/>
      </c>
      <c r="Y40" s="14" t="n"/>
    </row>
  </sheetData>
  <autoFilter ref="A3:Y39"/>
  <mergeCells count="3">
    <mergeCell ref="A2:Y2"/>
    <mergeCell ref="A40:F40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8" customWidth="1" min="3" max="3"/>
  </cols>
  <sheetData>
    <row r="1" ht="26" customHeight="1">
      <c r="A1" s="17" t="inlineStr">
        <is>
          <t>BUILDING OPERATIONS — תקציר מנהלים (שלב 1: Blueprint)</t>
        </is>
      </c>
    </row>
    <row r="2">
      <c r="A2" s="18" t="inlineStr">
        <is>
          <t>מבוסס על 36 המשימות הראשונות שנותחו מתוך 230 המשימות בתוכנית האחזקה. נתוני MVP להערכה — לאימות בפיילוט.</t>
        </is>
      </c>
    </row>
    <row r="4">
      <c r="A4" s="19" t="inlineStr">
        <is>
          <t>מדד</t>
        </is>
      </c>
      <c r="B4" s="19" t="inlineStr">
        <is>
          <t>ערך</t>
        </is>
      </c>
    </row>
    <row r="5" ht="22" customHeight="1">
      <c r="A5" s="20" t="inlineStr">
        <is>
          <t>סה"כ משימות שנותחו בשלב 1</t>
        </is>
      </c>
      <c r="B5" s="21" t="n">
        <v>36</v>
      </c>
    </row>
    <row r="6" ht="22" customHeight="1">
      <c r="A6" s="20" t="inlineStr">
        <is>
          <t>מתוכן ניתנות למעבר מלא/חלקי לניהול מבוסס-חריגות (SKIP/INSPECT/ACT)</t>
        </is>
      </c>
      <c r="B6" s="21">
        <f>36-(SUMPRODUCT(--(LEFT('מפת החלטות מאסטר'!N4:N39,4)="KEEP")))</f>
        <v/>
      </c>
    </row>
    <row r="7" ht="22" customHeight="1">
      <c r="A7" s="20" t="inlineStr">
        <is>
          <t>מתוכן חייבות להישאר KEEP (רגולציה / ביטוח / בטיחות חיים)</t>
        </is>
      </c>
      <c r="B7" s="21">
        <f>SUMPRODUCT(--(LEFT('מפת החלטות מאסטר'!N4:N39,4)="KEEP"))</f>
        <v/>
      </c>
    </row>
    <row r="8" ht="22" customHeight="1">
      <c r="A8" s="20" t="inlineStr">
        <is>
          <t>שעות עבודה בשנה — היום (36 המשימות)</t>
        </is>
      </c>
      <c r="B8" s="21">
        <f>'מפת החלטות מאסטר'!S40</f>
        <v/>
      </c>
      <c r="C8" s="22" t="inlineStr">
        <is>
          <t>שעות</t>
        </is>
      </c>
    </row>
    <row r="9" ht="22" customHeight="1">
      <c r="A9" s="20" t="inlineStr">
        <is>
          <t>שעות עבודה בשנה — לאחר מעבר לניהול מבוסס-חריגות</t>
        </is>
      </c>
      <c r="B9" s="21">
        <f>'מפת החלטות מאסטר'!V40</f>
        <v/>
      </c>
      <c r="C9" s="22" t="inlineStr">
        <is>
          <t>שעות</t>
        </is>
      </c>
    </row>
    <row r="10" ht="22" customHeight="1">
      <c r="A10" s="20" t="inlineStr">
        <is>
          <t>חיסכון שעות עבודה לשנה</t>
        </is>
      </c>
      <c r="B10" s="21">
        <f>'מפת החלטות מאסטר'!W40</f>
        <v/>
      </c>
      <c r="C10" s="22" t="inlineStr">
        <is>
          <t>שעות</t>
        </is>
      </c>
    </row>
    <row r="11" ht="22" customHeight="1">
      <c r="A11" s="20" t="inlineStr">
        <is>
          <t>אחוז חיסכון ממוצע (36 המשימות שנותחו)</t>
        </is>
      </c>
      <c r="B11" s="23">
        <f>'מפת החלטות מאסטר'!X40</f>
        <v/>
      </c>
    </row>
    <row r="13">
      <c r="A13" s="24" t="inlineStr">
        <is>
          <t>פילוח לפי סיווג אסטרטגי</t>
        </is>
      </c>
    </row>
    <row r="14">
      <c r="A14" s="19" t="inlineStr">
        <is>
          <t>סיווג</t>
        </is>
      </c>
      <c r="B14" s="19" t="inlineStr">
        <is>
          <t>מס' משימות</t>
        </is>
      </c>
      <c r="C14" s="19" t="inlineStr">
        <is>
          <t>חיסכון שעות/שנה</t>
        </is>
      </c>
    </row>
    <row r="15" ht="30" customHeight="1">
      <c r="A15" s="25" t="inlineStr">
        <is>
          <t>A — נתון קיים בבקר (אוטומציה מיידית)</t>
        </is>
      </c>
      <c r="B15" s="26">
        <f>COUNTIF('מפת החלטות מאסטר'!F4:F39,"A — נתון קיים בבקר (אוטומציה מיידית)")</f>
        <v/>
      </c>
      <c r="C15" s="27">
        <f>SUMIF('מפת החלטות מאסטר'!F4:F39,"A — נתון קיים בבקר (אוטומציה מיידית)",'מפת החלטות מאסטר'!W4:W39)</f>
        <v/>
      </c>
    </row>
    <row r="16" ht="30" customHeight="1">
      <c r="A16" s="25" t="inlineStr">
        <is>
          <t>B — נדרש חיישן IoT נוסף</t>
        </is>
      </c>
      <c r="B16" s="26">
        <f>COUNTIF('מפת החלטות מאסטר'!F4:F39,"B — נדרש חיישן IoT נוסף")</f>
        <v/>
      </c>
      <c r="C16" s="27">
        <f>SUMIF('מפת החלטות מאסטר'!F4:F39,"B — נדרש חיישן IoT נוסף",'מפת החלטות מאסטר'!W4:W39)</f>
        <v/>
      </c>
    </row>
    <row r="17" ht="30" customHeight="1">
      <c r="A17" s="25" t="inlineStr">
        <is>
          <t>C — רגולציה/ביטוח/בטיחות (לא ניתן לביטול)</t>
        </is>
      </c>
      <c r="B17" s="26">
        <f>COUNTIF('מפת החלטות מאסטר'!F4:F39,"C — רגולציה/ביטוח/בטיחות (לא ניתן לביטול)")</f>
        <v/>
      </c>
      <c r="C17" s="27">
        <f>SUMIF('מפת החלטות מאסטר'!F4:F39,"C — רגולציה/ביטוח/בטיחות (לא ניתן לביטול)",'מפת החלטות מאסטר'!W4:W39)</f>
        <v/>
      </c>
    </row>
    <row r="18" ht="30" customHeight="1">
      <c r="A18" s="25" t="inlineStr">
        <is>
          <t>D — מבוסס תפוסה/ביקוש (Demand-Based)</t>
        </is>
      </c>
      <c r="B18" s="26">
        <f>COUNTIF('מפת החלטות מאסטר'!F4:F39,"D — מבוסס תפוסה/ביקוש (Demand-Based)")</f>
        <v/>
      </c>
      <c r="C18" s="27">
        <f>SUMIF('מפת החלטות מאסטר'!F4:F39,"D — מבוסס תפוסה/ביקוש (Demand-Based)",'מפת החלטות מאסטר'!W4:W39)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7" t="inlineStr">
        <is>
          <t>מקרא ומתודולוגיה — Master Decision Matrix</t>
        </is>
      </c>
    </row>
    <row r="3">
      <c r="A3" s="28" t="inlineStr">
        <is>
          <t>1. מטרת המסמך</t>
        </is>
      </c>
    </row>
    <row r="4" ht="45" customHeight="1">
      <c r="A4" s="29" t="inlineStr"/>
      <c r="B4" s="30" t="inlineStr">
        <is>
          <t>שלב 1 (Blueprint) בתהליך בניית מנוע ההחלטות התפעוליות: פירוק תוכנית האחזקה המונעת הקיימת (230 משימות, 12 מערכות) וניסוח לוגיקת KEEP / SKIP / INSPECT / ACT לכל משימה, כבסיס לאפיון תוכנה ולשיחה עם מפתח.</t>
        </is>
      </c>
    </row>
    <row r="6">
      <c r="A6" s="28" t="inlineStr">
        <is>
          <t>2. ארבע ההחלטות האפשריות</t>
        </is>
      </c>
    </row>
    <row r="7" ht="30" customHeight="1">
      <c r="A7" s="29" t="inlineStr">
        <is>
          <t>KEEP</t>
        </is>
      </c>
      <c r="B7" s="30" t="inlineStr">
        <is>
          <t>המשימה נשארת כפי שהיא, בתדירותה המקורית — כי מקור החובה שלה (תקן/רגולציה/ביטוח/בטיחות חיים) אינו מאפשר החלפה בטכנולוגיה, גם אם הטכנולוגיה קיימת.</t>
        </is>
      </c>
    </row>
    <row r="8" ht="30" customHeight="1">
      <c r="A8" s="29" t="inlineStr">
        <is>
          <t>SKIP</t>
        </is>
      </c>
      <c r="B8" s="30" t="inlineStr">
        <is>
          <t>המשימה מבוטלת כברירת מחדל ומוחלפת בניטור דיגיטלי רציף — מבוצעת פיזית רק כאשר מתקבלת חריגה.</t>
        </is>
      </c>
    </row>
    <row r="9" ht="30" customHeight="1">
      <c r="A9" s="29" t="inlineStr">
        <is>
          <t>INSPECT</t>
        </is>
      </c>
      <c r="B9" s="30" t="inlineStr">
        <is>
          <t>תדירות הביקור הפיזי מופחתת (לא מבוטלת), לרוב משילוב של ניטור דיגיטלי חלקי + הוספת חיישן IoT.</t>
        </is>
      </c>
    </row>
    <row r="10" ht="30" customHeight="1">
      <c r="A10" s="29" t="inlineStr">
        <is>
          <t>ACT</t>
        </is>
      </c>
      <c r="B10" s="30" t="inlineStr">
        <is>
          <t>המשימה עוברת ממודל 'לוח זמנים קבוע' למודל 'מבוסס ביקוש/תפוסה/מילוי' — מבוצעת כשנדרש בפועל, לא לפי יום קבוע מראש.</t>
        </is>
      </c>
    </row>
    <row r="12">
      <c r="A12" s="28" t="inlineStr">
        <is>
          <t>3. הסיווג האסטרטגי (A/B/C/D)</t>
        </is>
      </c>
    </row>
    <row r="13" ht="30" customHeight="1">
      <c r="A13" s="29" t="inlineStr">
        <is>
          <t>A — נתון קיים בבקר</t>
        </is>
      </c>
      <c r="B13" s="30" t="inlineStr">
        <is>
          <t>המידע הדרוש להחלטה כבר זמין היום מהבקר/ה-BMS הקיים. פוטנציאל האוטומציה הגבוה והמהיר ביותר — לא דורש השקעת חומרה.</t>
        </is>
      </c>
    </row>
    <row r="14" ht="30" customHeight="1">
      <c r="A14" s="29" t="inlineStr">
        <is>
          <t>B — נדרש חיישן IoT נוסף</t>
        </is>
      </c>
      <c r="B14" s="30" t="inlineStr">
        <is>
          <t>הנתון אינו קיים כיום (למשל רעד, דליפה, הפרש לחץ). נדרשת השקעה נקודתית בחיישן זול לפני שניתן לצמצם ביקורים פיזיים.</t>
        </is>
      </c>
    </row>
    <row r="15" ht="30" customHeight="1">
      <c r="A15" s="29" t="inlineStr">
        <is>
          <t>C — רגולציה/ביטוח/בטיחות</t>
        </is>
      </c>
      <c r="B15" s="30" t="inlineStr">
        <is>
          <t>מקור החובה חיצוני ומחייב (תקן, חוק, דרישת מבטח, בטיחות חיים) — המנוע אינו מציע SKIP גם אם קיימת טכנולוגיה, זהו 'שער' ה-Compliance.</t>
        </is>
      </c>
    </row>
    <row r="16" ht="30" customHeight="1">
      <c r="A16" s="29" t="inlineStr">
        <is>
          <t>D — מבוסס תפוסה/ביקוש</t>
        </is>
      </c>
      <c r="B16" s="30" t="inlineStr">
        <is>
          <t>המשימה קשורה לשימוש בפועל בשטח (ניקיון, פינוי אשפה, סיורים) — עוברת ממודל תדיר קבוע למודל המגיב לנתוני תפוסה/מילוי בפועל.</t>
        </is>
      </c>
    </row>
    <row r="18">
      <c r="A18" s="28" t="inlineStr">
        <is>
          <t>4. עיקרון מרכזי: 'יש חיישן' אינו אומר 'אפשר SKIP'</t>
        </is>
      </c>
    </row>
    <row r="19" ht="75" customHeight="1">
      <c r="A19" s="29" t="inlineStr"/>
      <c r="B19" s="30" t="inlineStr">
        <is>
          <t>לפני שקובעים החלטת SKIP למשימה, לא מספיק לבדוק "האם יש חיישן על הציוד הזה" — צריך לבדוק ספציפית "האם החיישן הקיים באמת מכסה את סוג הכשל שהבדיקה הפיזית המקורית נועדה לתפוס". לדוגמה: חיישן טמפרטורה וסטטוס מפסקים על לוח חשמל לא בהכרח מזהה נתיך שנשרף במעגל ספציפי, קורוזיה, חיבור רופף או ריח שרוף — אלה כשלים שהבדיקה הפיזית הידנית נועדה לתפוס ושהחיישנים הקיימים אינם מכסים בהכרח.</t>
        </is>
      </c>
    </row>
    <row r="20" ht="45" customHeight="1">
      <c r="A20" s="29" t="inlineStr">
        <is>
          <t>מסקנה מעשית</t>
        </is>
      </c>
      <c r="B20" s="30" t="inlineStr">
        <is>
          <t>כשקיים פער כיסוי כזה, ההחלטה הנכונה היא INSPECT (ביקור פיזי בתדירות מופחתת, ממוקד ספציפית במה שהחיישנים לא רואים) ולא SKIP מלא — עד שמתווסף חיישן ייעודי שסוגר את הפער הספציפי (למשל חיישן זרם/רציפות לכל מעגל בנפרד, לא רק טמפ' כללית של הלוח).</t>
        </is>
      </c>
    </row>
    <row r="21" ht="75" customHeight="1">
      <c r="A21" s="29" t="inlineStr">
        <is>
          <t>הבחנה חשובה נוספת</t>
        </is>
      </c>
      <c r="B21" s="30" t="inlineStr">
        <is>
          <t>יש להבדיל בין שתי שכבות שונות של בדיקה שקל לבלבל ביניהן: (1) בדיקה שנתית ע"י גורם מוסמך חיצוני (למשל בודק חשמל מוסמך) — זו בדרך כלל מוגדרת בחוק/תקנות, ונשארת KEEP ללא תלות בטכנולוגיה. (2) סיור פנימי שוטף של צוות האחזקה (יומי/שבועי) — לרוב אין לו תקן חיצוני שמגדיר תדירות/פרוטוקול מדויק, והוא הצטבר כנוהל/Best Practice. שכבה (2) היא המועמדת הטבעית לצמצום, אך מהסיבה הטכנית שבסעיף הזה (פער כיסוי חיישנים) — לא מהיעדר חובה רגולטורית.</t>
        </is>
      </c>
    </row>
    <row r="23">
      <c r="A23" s="28" t="inlineStr">
        <is>
          <t>5. הסבר עמודות מפת ההחלטות</t>
        </is>
      </c>
    </row>
    <row r="24" ht="30" customHeight="1">
      <c r="A24" s="29" t="inlineStr">
        <is>
          <t>מערכת / ציוד / משימה</t>
        </is>
      </c>
      <c r="B24" s="30" t="inlineStr">
        <is>
          <t>כפי שמופיעים בתוכנית האחזקה המקורית (12 לשוניות, 230 משימות) — שומר על שקיפות מלאה מול המקור.</t>
        </is>
      </c>
    </row>
    <row r="25" ht="18" customHeight="1">
      <c r="A25" s="29" t="inlineStr">
        <is>
          <t>תדירות נוכחית / מופעים לשנה (היום)</t>
        </is>
      </c>
      <c r="B25" s="30" t="inlineStr">
        <is>
          <t>התדירות כפי שנקבעה היום בתוכנית האחזקה, מתורגמת למספר מופעים שנתי.</t>
        </is>
      </c>
    </row>
    <row r="26" ht="18" customHeight="1">
      <c r="A26" s="29" t="inlineStr">
        <is>
          <t>מה נבדק בפועל</t>
        </is>
      </c>
      <c r="B26" s="30" t="inlineStr">
        <is>
          <t>תמצית הצ'ק-ליסט המקורי לאותה משימה.</t>
        </is>
      </c>
    </row>
    <row r="27" ht="30" customHeight="1">
      <c r="A27" s="29" t="inlineStr">
        <is>
          <t>מקור החובה (Compliance)</t>
        </is>
      </c>
      <c r="B27" s="30" t="inlineStr">
        <is>
          <t>הסיבה שבגללה המשימה קיימת: תקן ישראלי, חוק, הוראות יצרן, דרישת ביטוח, SLA או נוהל פנימי. זהו הבסיס לכל החלטת KEEP.</t>
        </is>
      </c>
    </row>
    <row r="28" ht="18" customHeight="1">
      <c r="A28" s="29" t="inlineStr">
        <is>
          <t>נתון קיים בבקר/BMS?</t>
        </is>
      </c>
      <c r="B28" s="30" t="inlineStr">
        <is>
          <t>האם המידע הדרוש להערכת מצב המערכת כבר מגיע היום מבקר/רכזת/תוכנת ניהול קיימת.</t>
        </is>
      </c>
    </row>
    <row r="29" ht="18" customHeight="1">
      <c r="A29" s="29" t="inlineStr">
        <is>
          <t>חיישן IoT נדרש</t>
        </is>
      </c>
      <c r="B29" s="30" t="inlineStr">
        <is>
          <t>אם המידע חסר — איזה חיישן זול נדרש כדי להשלים אותו (רטט, דליפה, מילוי, הפרש לחץ וכו').</t>
        </is>
      </c>
    </row>
    <row r="30" ht="18" customHeight="1">
      <c r="A30" s="29" t="inlineStr">
        <is>
          <t>בדיקה פיזית חובה עפ"י דין/תקן?</t>
        </is>
      </c>
      <c r="B30" s="30" t="inlineStr">
        <is>
          <t>דגל Compliance מפורש — אם כן, לא מוצעת החלטת SKIP למשימה, ללא תלות ביכולת הטכנולוגית.</t>
        </is>
      </c>
    </row>
    <row r="31" ht="18" customHeight="1">
      <c r="A31" s="29" t="inlineStr">
        <is>
          <t>ניתן למעבר לניהול מבוסס חריגות?</t>
        </is>
      </c>
      <c r="B31" s="30" t="inlineStr">
        <is>
          <t>הערכה כללית (כן/חלקי/לא) של מידת ההתאמה של המשימה למודל Condition-Based.</t>
        </is>
      </c>
    </row>
    <row r="32" ht="18" customHeight="1">
      <c r="A32" s="29" t="inlineStr">
        <is>
          <t>החלטת ברירת מחדל</t>
        </is>
      </c>
      <c r="B32" s="30" t="inlineStr">
        <is>
          <t>אחת מארבע ההחלטות (KEEP/SKIP/INSPECT/ACT), עם צביעה תואמת.</t>
        </is>
      </c>
    </row>
    <row r="33" ht="30" customHeight="1">
      <c r="A33" s="29" t="inlineStr">
        <is>
          <t>תנאי SKIP / INSPECT / ACT</t>
        </is>
      </c>
      <c r="B33" s="30" t="inlineStr">
        <is>
          <t>הלוגיקה בפועל: מתי המנוע מדלג, מתי הוא שולח לבדיקה מופחתת, ומתי הוא פותח קריאת שירות/פעולה.</t>
        </is>
      </c>
    </row>
    <row r="34" ht="18" customHeight="1">
      <c r="A34" s="29" t="inlineStr">
        <is>
          <t>זמן ביצוע (דק') / מופעים חזויים / שעות בשנה</t>
        </is>
      </c>
      <c r="B34" s="30" t="inlineStr">
        <is>
          <t>הערכות MVP לחישוב חיסכון פוטנציאלי — ראו הנחות עבודה בסעיף 6.</t>
        </is>
      </c>
    </row>
    <row r="36">
      <c r="A36" s="28" t="inlineStr">
        <is>
          <t>6. הנחות עבודה ומגבלות (MVP)</t>
        </is>
      </c>
    </row>
    <row r="37" ht="45" customHeight="1">
      <c r="A37" s="29" t="inlineStr">
        <is>
          <t>•</t>
        </is>
      </c>
      <c r="B37" s="30" t="inlineStr">
        <is>
          <t>אומדני 'זמן ביצוע' ו'מופעים חזויים' הם הערכות סבירות של צוות הפיתוח בשלב Blueprint, ולא נתוני אמת נמדדים — מטרתן לבנות מודל חישוב שניתן להזין אליו בהמשך נתוני זמן אמיתיים (למשל ממגדלי הארבעה).</t>
        </is>
      </c>
    </row>
    <row r="38" ht="30" customHeight="1">
      <c r="A38" s="29" t="inlineStr">
        <is>
          <t>•</t>
        </is>
      </c>
      <c r="B38" s="30" t="inlineStr">
        <is>
          <t>כל שורת KEEP מייצגת בכוונה חיסכון אפס או נמוך — זו דוגמה מכוונת לכך שהמנוע אינו ממליץ לבטל משימה רק כי קיימת טכנולוגיה, כאשר מקור החובה חיצוני ומחייב.</t>
        </is>
      </c>
    </row>
    <row r="39" ht="30" customHeight="1">
      <c r="A39" s="29" t="inlineStr">
        <is>
          <t>•</t>
        </is>
      </c>
      <c r="B39" s="30" t="inlineStr">
        <is>
          <t>שורות 'סיור ביטחון' מסומנות באזהרה מפורשת: כל צמצום מותנה באישור מראש של גורם הביטחון/הביטוח של הבניין — לא רק ביכולת הטכנולוגית, בהתאם לעיקרון הזהירות שהוגדר במסמך החזון.</t>
        </is>
      </c>
    </row>
    <row r="40" ht="30" customHeight="1">
      <c r="A40" s="29" t="inlineStr">
        <is>
          <t>•</t>
        </is>
      </c>
      <c r="B40" s="30" t="inlineStr">
        <is>
          <t>המשימות שנבחרו (36 מתוך 230) הן אלה בעלות פוטנציאל ההשפעה הגבוה ביותר (תדירות גבוהה + פוטנציאל אוטומציה) — הרחבה ליתר המשימות היא שלב 2 של התהליך.</t>
        </is>
      </c>
    </row>
    <row r="41" ht="30" customHeight="1">
      <c r="A41" s="29" t="inlineStr">
        <is>
          <t>•</t>
        </is>
      </c>
      <c r="B41" s="30" t="inlineStr">
        <is>
          <t>מקור החובה (Compliance) מבוסס על ידע כללי בתחום התקינה בישראל (ת"י 1220 ודומיו) ואינו מהווה ייעוץ משפטי/הנדסי — יש לאמת מול יועץ בטיחות/חשמל/כיבוי אש מוסמך לפני יישום בפועל.</t>
        </is>
      </c>
    </row>
    <row r="43">
      <c r="A43" s="28" t="inlineStr">
        <is>
          <t>7. השלבים הבאים (מתוך מסמך החזון + ממצאי הסיור במגדלי הארבעה)</t>
        </is>
      </c>
    </row>
    <row r="44" ht="18" customHeight="1">
      <c r="A44" s="29" t="inlineStr">
        <is>
          <t>→</t>
        </is>
      </c>
      <c r="B44" s="30" t="inlineStr">
        <is>
          <t>הרחבת המטריצה ליתר 194 המשימות בתוכנית האחזקה (ולתוכנית הניקיון, כשתתקבל).</t>
        </is>
      </c>
    </row>
    <row r="45" ht="30" customHeight="1">
      <c r="A45" s="29" t="inlineStr">
        <is>
          <t>→</t>
        </is>
      </c>
      <c r="B45" s="30" t="inlineStr">
        <is>
          <t>אימות מול נתוני אמת ממגדלי הארבעה — זמני ביצוע בפועל, מפת חיישנים/בקרים קיימת בפועל בכל מגדל.</t>
        </is>
      </c>
    </row>
    <row r="46" ht="30" customHeight="1">
      <c r="A46" s="29" t="inlineStr">
        <is>
          <t>→</t>
        </is>
      </c>
      <c r="B46" s="30" t="inlineStr">
        <is>
          <t>בירור טכני מול G1 הוטלו (מתחזקי מערכת הבקרה, פלטפורמת Trend/IQ-4): קיום ממשק BACnet/OPC או גישת קריאה למסד הנתונים/Trend log.</t>
        </is>
      </c>
    </row>
    <row r="47" ht="30" customHeight="1">
      <c r="A47" s="29" t="inlineStr">
        <is>
          <t>→</t>
        </is>
      </c>
      <c r="B47" s="30" t="inlineStr">
        <is>
          <t>בירור מול Visitt לגבי גישת API/ייצוא להיסטוריית המשימות שכבר קיימת בפועל בבניין — מקור נתוני אמת מהימן לכיול המודל.</t>
        </is>
      </c>
    </row>
    <row r="48" ht="30" customHeight="1">
      <c r="A48" s="29" t="inlineStr">
        <is>
          <t>→</t>
        </is>
      </c>
      <c r="B48" s="30" t="inlineStr">
        <is>
          <t>מיפוי פערי כיסוי חיישנים לכל שורת INSPECT (עיקרון סעיף 4) — לא רק "יש בקר" אלא "אילו כשלים ספציפיים הבקר הקיים באמת מזהה".</t>
        </is>
      </c>
    </row>
    <row r="49" ht="30" customHeight="1">
      <c r="A49" s="29" t="inlineStr">
        <is>
          <t>→</t>
        </is>
      </c>
      <c r="B49" s="30" t="inlineStr">
        <is>
          <t>בניית Decision Engine V1 היברידי: שכבת Rules (Compliance) + שכבת Analytics/ML (זיהוי חריגות) + שכבת Generative AI (הסברים והמלצות).</t>
        </is>
      </c>
    </row>
    <row r="50" ht="30" customHeight="1">
      <c r="A50" s="29" t="inlineStr">
        <is>
          <t>→</t>
        </is>
      </c>
      <c r="B50" s="30" t="inlineStr">
        <is>
          <t>בניית מסך Dashboard יומי ('BUILDING OPERATIONS — TODAY') המציג KEEP/SKIP/INSPECT/ACT לכל בניין בזמן אמת.</t>
        </is>
      </c>
    </row>
  </sheetData>
  <mergeCells count="8">
    <mergeCell ref="A43:B43"/>
    <mergeCell ref="A36:B36"/>
    <mergeCell ref="A1:B1"/>
    <mergeCell ref="A23:B23"/>
    <mergeCell ref="A18:B1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2026-09-15T15:31:02Z</dcterms:created>
  <dcterms:modified xsi:type="dcterms:W3CDTF">2026-09-15T15:31:02Z</dcterms:modified>
</cp:coreProperties>
</file>